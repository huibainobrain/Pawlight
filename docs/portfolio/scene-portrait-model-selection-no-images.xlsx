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 firstSheet="2" activeTab="7"/>
  </bookViews>
  <sheets>
    <sheet name="使用说明" sheetId="1" r:id="rId1"/>
    <sheet name="宠物特征卡" sheetId="2" r:id="rId2"/>
    <sheet name="测试用例" sheetId="3" r:id="rId3"/>
    <sheet name="评分标准" sheetId="4" r:id="rId4"/>
    <sheet name="单图评分 -GPT" sheetId="7" r:id="rId5"/>
    <sheet name="单图评分-Opus" sheetId="5" r:id="rId6"/>
    <sheet name="待人工复核项" sheetId="10" r:id="rId7"/>
    <sheet name="单图评分-最终分" sheetId="11" r:id="rId8"/>
    <sheet name="模型汇总" sheetId="6" r:id="rId9"/>
  </sheets>
  <definedNames>
    <definedName name="_xlnm._FilterDatabase" localSheetId="7" hidden="1">'单图评分-最终分'!$A$1:$AW$61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<sst xmlns="http://schemas.openxmlformats.org/spreadsheetml/2006/main" count="2617" uniqueCount="743">
  <si>
    <t>Pawlight 图片生成模型评测表（最终执行版）</t>
  </si>
  <si>
    <t>评测目标</t>
  </si>
  <si>
    <t>任务定义</t>
  </si>
  <si>
    <t>评估模型能否在保留宠物个体身份的前提下，理解用户场景描述，并将宠物自然转化到指定的 Pawlight 动漫场景中。</t>
  </si>
  <si>
    <t>正式样本量</t>
  </si>
  <si>
    <t>建议 10 个测试用例 × 3 个候选模型 × 每个条件独立生成 2 次，共 60 张结果图。</t>
  </si>
  <si>
    <t>参考图</t>
  </si>
  <si>
    <t>每只宠物可使用 2–3 张固定参考图；同一个测试用例在不同模型中必须使用同一组参考图。</t>
  </si>
  <si>
    <t>评分结构</t>
  </si>
  <si>
    <t>宠物身份还原 45分 + 用户场景需求还原 30分 + 动漫风格与融合 10分 + 生成质量与结构正确性 10分 + Pawlight产品适配 5分 = 100分。</t>
  </si>
  <si>
    <t>生产可用门槛</t>
  </si>
  <si>
    <t>同时满足：身份≥36/45；场景≥21/30；风格≥7/10；生成质量≥7/10；产品适配≥4/5；总分≥80；且无严重失败。</t>
  </si>
  <si>
    <t>严重失败</t>
  </si>
  <si>
    <t>严重失败独立于总分。一旦触发，最终生产判定直接为“严重失败”，但保留各项分数用于分析模型短板。</t>
  </si>
  <si>
    <t>评审原则</t>
  </si>
  <si>
    <t>身份特征卡与测试用例必须在查看模型结果前预先填写；建议盲评，评审时尽量隐藏模型名称。</t>
  </si>
  <si>
    <t>页签与执行顺序</t>
  </si>
  <si>
    <t>1</t>
  </si>
  <si>
    <t>宠物特征卡</t>
  </si>
  <si>
    <t>为 10 只宠物预先记录基础外观和 3 个身份锚点。</t>
  </si>
  <si>
    <t>2</t>
  </si>
  <si>
    <t>测试用例</t>
  </si>
  <si>
    <t>为每只宠物定义一条自然语言用户需求，并拆成环境、动作、关键元素、空间关系、氛围、构图。</t>
  </si>
  <si>
    <t>3</t>
  </si>
  <si>
    <t>评分标准</t>
  </si>
  <si>
    <t>查看所有细项的权重、0–4/0–5 档位定义和严重失败规则。</t>
  </si>
  <si>
    <t>4</t>
  </si>
  <si>
    <t>单图评分</t>
  </si>
  <si>
    <t>对 60 张结果逐张评分；黄色列为人工输入，蓝灰列自动计算。</t>
  </si>
  <si>
    <t>5</t>
  </si>
  <si>
    <t>模型汇总</t>
  </si>
  <si>
    <t>填写候选模型名称，自动得到各维度均分、生产可用率、严重失败率、耗时与成本。</t>
  </si>
  <si>
    <t>颜色说明</t>
  </si>
  <si>
    <t>黄色</t>
  </si>
  <si>
    <t>人工填写</t>
  </si>
  <si>
    <t>蓝灰色</t>
  </si>
  <si>
    <t>公式自动计算</t>
  </si>
  <si>
    <t>红/黄/绿色</t>
  </si>
  <si>
    <t>条件格式提示风险、临界和通过</t>
  </si>
  <si>
    <t>样本编号</t>
  </si>
  <si>
    <t>宠物类型</t>
  </si>
  <si>
    <t>基础外观特征</t>
  </si>
  <si>
    <t>身份锚点1</t>
  </si>
  <si>
    <t>身份锚点2</t>
  </si>
  <si>
    <t>身份锚点3</t>
  </si>
  <si>
    <t>补充说明</t>
  </si>
  <si>
    <t>P01</t>
  </si>
  <si>
    <t>狗｜金毛</t>
  </si>
  <si>
    <t>幼年金毛，浅奶油金色中长绒毛；头部圆宽，口鼻较短厚；深色眼睛、黑鼻；双耳自然下垂；整体为偏敦实的幼犬体型。</t>
  </si>
  <si>
    <t>整体毛色为较浅的奶油金色，脸部与口鼻区域更浅，耳部与头顶略深，存在柔和的深浅层次。</t>
  </si>
  <si>
    <t>头脸较圆宽，额头饱满；口鼻部短而宽、轮廓厚实，不是细长型金毛脸。</t>
  </si>
  <si>
    <t>双耳为中等大小的自然垂耳，耳尖圆润，耳毛较长且颜色略深于脸部。</t>
  </si>
  <si>
    <t>当前仅1张参考图，主要呈现头脸、胸前和前肢；后半身与尾巴不可见，不将尾巴或背部花纹作为身份判断依据。</t>
  </si>
  <si>
    <t>P02</t>
  </si>
  <si>
    <t>猫｜黑猫</t>
  </si>
  <si>
    <t>纯黑短毛猫，毛色均匀；体型紧凑，脸型圆；眼睛很大且呈金黄色，黑色鼻头；双耳直立、呈三角形。</t>
  </si>
  <si>
    <t>一双大而圆的金黄色眼睛，虹膜颜色鲜明，眼睛在脸部占比较高，是最突出的识别特征。</t>
  </si>
  <si>
    <t>全脸及可见身体均为纯黑色，鼻梁、口鼻和胸前均无白斑或其他明显杂色。</t>
  </si>
  <si>
    <t>脸型偏圆、口鼻很短，双耳间距较宽，整体呈明显的圆脸短鼻比例。</t>
  </si>
  <si>
    <t>当前仅1张参考图且为趴卧姿势，四肢与尾巴基本不可见；体型判断以头脸和躯干轮廓为主。</t>
  </si>
  <si>
    <t>P03</t>
  </si>
  <si>
    <t>猫｜三花猫</t>
  </si>
  <si>
    <t>长毛三花猫，白色为主体，头部与身体分布橘色、深棕黑色不规则色块；胸前和前肢大面积白色；粉色鼻头，双耳直立。</t>
  </si>
  <si>
    <t>脸部左右配色高度不对称：一侧眼周及脸颊以橘色为主，另一侧眼周为大片深棕黑色色块。</t>
  </si>
  <si>
    <t>额头中央至鼻梁存在明显白色纵向区域，将左右两侧彩色脸斑分开，并与白色口鼻区域连成一体。</t>
  </si>
  <si>
    <t>胸前与两只前肢为大面积蓬松白毛，而身体两侧仍可见橘色和深色不规则色块，形成明显三花分布。</t>
  </si>
  <si>
    <t>当前仅1张正面偏全身参考图；尾巴及身体背面不可见，不评价不可见区域的色块分布。</t>
  </si>
  <si>
    <t>P04</t>
  </si>
  <si>
    <t>狗｜萨摩耶</t>
  </si>
  <si>
    <t>白色萨摩耶幼犬，毛量非常大、全身蓬松；脸型圆，口鼻较短；黑色眼睛和鼻头；小型三角立耳部分被长毛包围，体型偏圆润。</t>
  </si>
  <si>
    <t>全身为高密度纯白长绒毛，尤其脸颊、颈部和胸前毛量很大，形成圆润蓬松的外轮廓。</t>
  </si>
  <si>
    <t>头脸较圆，口鼻短而厚，黑色鼻头在白色脸部中央非常突出，嘴角呈自然上扬的“微笑”轮廓。</t>
  </si>
  <si>
    <t>双耳较小、呈三角形直立，耳根部分被头部绒毛覆盖，耳朵相对脸盘显得短小。</t>
  </si>
  <si>
    <t>当前仅1张正面坐姿参考图，后半身和尾巴展示有限；不把姿势、伸舌等瞬时状态作为身份锚点。</t>
  </si>
  <si>
    <t>P05</t>
  </si>
  <si>
    <t>狗｜柯基</t>
  </si>
  <si>
    <t>橙白双色柯基，体型敦实，躯干较长、四肢很短；大号三角立耳；背部与头部以橙棕色为主，胸腹、口鼻和四肢末端为白色。</t>
  </si>
  <si>
    <t>脸部中央有明显白色纵向额纹，从额头向下经过鼻梁并连接白色口鼻区域，两侧为橙棕色脸斑。</t>
  </si>
  <si>
    <t>胸前至腹部为大面积白毛，两只前腿及爪部也以白色为主，与橙棕色躯干形成清晰分界。</t>
  </si>
  <si>
    <t>典型但非常鲜明的短腿长身比例，体型偏敦实，同时配有相对头部较大的直立三角耳。</t>
  </si>
  <si>
    <t>当前仅1张全身坐姿参考图，可观察整体比例；尾巴不可见，因此不将尾巴长度或形态作为身份判断依据。</t>
  </si>
  <si>
    <t>P06</t>
  </si>
  <si>
    <t>狗｜泰迪</t>
  </si>
  <si>
    <t>红棕色泰迪/贵宾犬，浓密卷毛；圆形“泰迪”修剪头型，脸盘饱满；大而深色的圆眼，黑鼻；垂耳与脸部毛发融合，体型小巧紧凑。</t>
  </si>
  <si>
    <t>头部修剪成近圆形轮廓，额顶和两侧脸颊毛量充足，口鼻周围形成明显的圆润“泰迪脸”。</t>
  </si>
  <si>
    <t>双眼非常大且圆、颜色深，眼距相对较宽，与较小的黑色鼻头形成明显的三点式面部比例。</t>
  </si>
  <si>
    <t>耳朵自然下垂并被卷毛覆盖，耳部轮廓与两侧脸颊连成一体，整体脸型不是尖长型。</t>
  </si>
  <si>
    <t>当前仅1张正面近全身参考图；项圈和牵引带属于外部物品，不作为身份特征，也不要求生成结果保留。</t>
  </si>
  <si>
    <t>P07</t>
  </si>
  <si>
    <t>猫｜奶牛猫</t>
  </si>
  <si>
    <t>黑白长毛奶牛猫，体型较大、毛量丰富；头顶、双耳、背部和身体两侧以黑色为主，胸前、腹部和前肢大面积白色；黄绿色眼睛、粉色鼻头。</t>
  </si>
  <si>
    <t>脸部中央有醒目的白色纵向区域，从额头向下延伸至鼻梁和口鼻；其两侧及头顶为黑色，形成明显黑白“面罩”。</t>
  </si>
  <si>
    <t>胸前、颈部到两只前腿均为大面积蓬松白毛，而肩背和身体两侧为黑色，黑白边界非常鲜明。</t>
  </si>
  <si>
    <t>粉色鼻头位于白色口鼻区域中央，配合黄绿色眼睛和黑色头顶，形成高对比的正脸特征组合。</t>
  </si>
  <si>
    <t>当前仅1张坐姿参考图，尾巴与身体背面信息有限；黑白花纹以可见正脸、胸前和身体侧面为主要评分依据。</t>
  </si>
  <si>
    <t>P08</t>
  </si>
  <si>
    <t>猫｜暹罗</t>
  </si>
  <si>
    <t>暹罗猫，短毛、奶油色躯干；面部、双耳、四肢末端为深棕色重点色；眼睛为明亮蓝色；脸型偏圆，体型较紧凑。</t>
  </si>
  <si>
    <t>双眼为非常醒目的浅蓝/冰蓝色，眼睛较大、偏圆，是与深色面罩形成强对比的核心识别特征。</t>
  </si>
  <si>
    <t>面部深棕色面罩集中覆盖眼周、鼻梁和口鼻，向额头及两侧脸颊逐渐过渡为较浅的奶油色。</t>
  </si>
  <si>
    <t>双耳及四只脚颜色明显深于躯干，形成“深色耳朵+深色袜子+浅色身体”的重点色分布。</t>
  </si>
  <si>
    <t>当前仅1张正面站姿参考图，可较好观察脸部和前肢；尾巴及身体背侧展示不足，不将其作为关键锚点。</t>
  </si>
  <si>
    <t>P09</t>
  </si>
  <si>
    <t>狗｜哈士奇</t>
  </si>
  <si>
    <t>黑白哈士奇，毛量较厚；双耳高位直立；两眼为浅蓝色；头顶和眼周为深黑色面罩，口鼻、脸颊和胸前为白色；黑色鼻头。</t>
  </si>
  <si>
    <t>双眼均为浅蓝色，颜色明亮且左右一致，与周围深色眼罩形成强烈对比。</t>
  </si>
  <si>
    <t>额头中央存在明显白色纵向额纹，自头顶向鼻梁延伸，两侧被深黑色头顶和眼罩包围。</t>
  </si>
  <si>
    <t>两眼上方各有浅色“眉斑”，与中央白色额纹、深色眼罩共同形成层次清楚的哈士奇面部花纹。</t>
  </si>
  <si>
    <t>当前仅1张头部近照，身体、四肢和尾巴不可见；本样本重点评估脸部花纹、眼睛和耳型，不据此判断完整体型。</t>
  </si>
  <si>
    <t>P10</t>
  </si>
  <si>
    <t>猫｜异瞳</t>
  </si>
  <si>
    <t>纯黑短毛猫，体型小而偏瘦，四肢纤细；脸型较窄，双耳大且尖；全身无明显白斑；最突出特征为一金一蓝的异色瞳。</t>
  </si>
  <si>
    <t>明显异色瞳：一只眼为金黄色，另一只眼为亮蓝色，两眼颜色差异清晰且必须同时保留。</t>
  </si>
  <si>
    <t>全身及脸部均为纯黑短毛，鼻头同为黑色，胸前、口鼻和四肢均无可见白斑。</t>
  </si>
  <si>
    <t>脸型偏窄、耳朵相对头部较大且尖，配合偏小偏瘦的幼猫体型，整体轮廓较轻巧。</t>
  </si>
  <si>
    <t>当前仅1张正面偏侧全身参考图；异色瞳是本样本最高优先级身份特征，生成时不要求固定哪只眼出现在画面左/右，以避免镜像问题。</t>
  </si>
  <si>
    <t>用例编号</t>
  </si>
  <si>
    <t>用户原始场景需求</t>
  </si>
  <si>
    <t>核心环境</t>
  </si>
  <si>
    <t>宠物动作/状态</t>
  </si>
  <si>
    <t>关键场景元素</t>
  </si>
  <si>
    <t>空间关系</t>
  </si>
  <si>
    <t>氛围条件</t>
  </si>
  <si>
    <t>构图/镜头要求</t>
  </si>
  <si>
    <t>场景复杂度</t>
  </si>
  <si>
    <t>备注</t>
  </si>
  <si>
    <t>C01</t>
  </si>
  <si>
    <t>“它安静地坐在清晨的草地上，周围有一些小野花，阳光刚刚照过来，感觉很舒服。”</t>
  </si>
  <si>
    <t>清晨的户外草地</t>
  </si>
  <si>
    <t>宠物安静地坐着，整体状态放松、舒适</t>
  </si>
  <si>
    <t>周围的小野花</t>
  </si>
  <si>
    <t>小野花自然分布在宠物周围；宠物位于草地上</t>
  </si>
  <si>
    <t>清晨；刚升起的柔和阳光；安静、舒服、轻暖</t>
  </si>
  <si>
    <t>Pawlight默认：完整展示宠物主体的中景/全身构图，宠物为视觉中心，同时保留足够草地与野花环境</t>
  </si>
  <si>
    <t>简单</t>
  </si>
  <si>
    <t>基础场景用例，主要验证身份保持、静态姿态和基础自然光表现</t>
  </si>
  <si>
    <t>C02</t>
  </si>
  <si>
    <t>“它趴在山坡的草地上看星星，旁边放着一盏暖黄色的小灯。”</t>
  </si>
  <si>
    <t>夜晚的山坡草地与星空</t>
  </si>
  <si>
    <t>宠物趴在草坡上，抬头/看向星空，状态安静</t>
  </si>
  <si>
    <t>星空；一盏暖黄色小灯</t>
  </si>
  <si>
    <t>暖黄色小灯位于宠物身旁；宠物趴在山坡草地上，星空位于远景/上方</t>
  </si>
  <si>
    <t>夜晚；冷色星空与暖色灯光形成对比；宁静</t>
  </si>
  <si>
    <t>中景或全身构图，宠物与身旁小灯同时清晰可见，并保留足够星空作为背景</t>
  </si>
  <si>
    <t>中等</t>
  </si>
  <si>
    <t>同时测试黑色宠物在暗光环境下的身份细节保持与夜景融合</t>
  </si>
  <si>
    <t>C03</t>
  </si>
  <si>
    <t>“它坐在海边的小木屋门口看日落，旁边放着一个黄色网球，温暖、安静一点。”</t>
  </si>
  <si>
    <t>海边的小木屋门口，远处可见日落</t>
  </si>
  <si>
    <t>宠物坐在木屋门口，看向日落，状态安静</t>
  </si>
  <si>
    <t>海边小木屋；黄色网球；日落</t>
  </si>
  <si>
    <t>宠物位于小木屋门口；黄色网球放在宠物身旁；海面与日落处于远景</t>
  </si>
  <si>
    <t>日落暖光；温暖、安静、柔和</t>
  </si>
  <si>
    <t>中景/全身构图，宠物为主体，同时清楚呈现木屋门口、黄色网球及海边日落</t>
  </si>
  <si>
    <t>测试复杂花纹宠物在建筑+海景+私人道具组合场景中的保持与指令执行</t>
  </si>
  <si>
    <t>C04</t>
  </si>
  <si>
    <t>“它趴在木屋的窗边晒下午的太阳，窗外可以看到绿色花园，旁边放着它的小毯子。”</t>
  </si>
  <si>
    <t>木屋室内的窗边，窗外是绿色花园</t>
  </si>
  <si>
    <t>宠物趴在窗边晒下午的太阳，状态放松</t>
  </si>
  <si>
    <t>窗户；绿色花园；宠物的小毯子</t>
  </si>
  <si>
    <t>宠物趴在窗边；小毯子位于宠物旁边；绿色花园位于窗外</t>
  </si>
  <si>
    <t>下午；柔和自然阳光；温暖、居家、舒适</t>
  </si>
  <si>
    <t>中景/全身构图，宠物与小毯子为近景主体，同时通过窗户清楚看到外部花园</t>
  </si>
  <si>
    <t>测试室内外双空间、窗边光照以及白色长毛在亮部环境中的轮廓保持</t>
  </si>
  <si>
    <t>C05</t>
  </si>
  <si>
    <t>“它在刚下过雪的松树林里慢慢往前走，地上有脚印，远处能看到一间亮着灯的小木屋。”</t>
  </si>
  <si>
    <t>刚下过雪的松树林</t>
  </si>
  <si>
    <t>宠物缓慢向前行走，动作自然</t>
  </si>
  <si>
    <t>雪地脚印；松树；远处亮着灯的小木屋</t>
  </si>
  <si>
    <t>宠物走在雪地中；脚印沿其行走路径留在地面；亮灯小木屋位于远处背景</t>
  </si>
  <si>
    <t>雪后安静环境；整体偏冷，远处木屋暖光形成冷暖对比</t>
  </si>
  <si>
    <t>全身中远景，需完整展示行走姿态、雪地脚印，并在远景保留亮灯木屋</t>
  </si>
  <si>
    <t>复杂</t>
  </si>
  <si>
    <t>重点测试动态姿态、短腿体型保持、雪地重复纹理和远近层次</t>
  </si>
  <si>
    <t>C06</t>
  </si>
  <si>
    <t>“它在开满花的小花园里追一只蝴蝶，动作自然一点，像平时玩耍的样子。”</t>
  </si>
  <si>
    <t>开满花的小花园</t>
  </si>
  <si>
    <t>宠物自然地追逐一只蝴蝶，呈玩耍状态</t>
  </si>
  <si>
    <t>大量花朵；一只蝴蝶</t>
  </si>
  <si>
    <t>蝴蝶位于宠物追逐方向的前方或稍上方；宠物在花园中运动</t>
  </si>
  <si>
    <t>白天；自然、轻快、有生活感，但不过度夸张兴奋</t>
  </si>
  <si>
    <t>全身动态构图，给宠物运动方向留出空间，同时清楚呈现蝴蝶与花园环境</t>
  </si>
  <si>
    <t>重点测试卷毛宠物在动态动作、复杂花卉背景和小目标互动中的稳定性</t>
  </si>
  <si>
    <t>C07</t>
  </si>
  <si>
    <t>“它坐在湖边的木栈道上看远处的山，身旁放着一个小水碗，水面比较平静。”</t>
  </si>
  <si>
    <t>湖边的木栈道，远处有山</t>
  </si>
  <si>
    <t>宠物坐在木栈道上看向远处的山，状态平静</t>
  </si>
  <si>
    <t>木栈道；湖面；远山；一个小水碗</t>
  </si>
  <si>
    <t>宠物位于木栈道上；水碗放在宠物身旁；湖面位于前/中景，远山处于背景</t>
  </si>
  <si>
    <t>平静水面；安静、舒缓的自然氛围</t>
  </si>
  <si>
    <t>中景或中远景，完整展示宠物和水碗，同时保留湖面与远山的空间层次</t>
  </si>
  <si>
    <t>测试高对比黑白花纹、道具空间关系以及水面和远景层次</t>
  </si>
  <si>
    <t>C08</t>
  </si>
  <si>
    <t>“它沿着秋天的森林小路慢慢散步，地上都是金黄色的落叶，偶尔回头看向我。”</t>
  </si>
  <si>
    <t>秋天的森林小路</t>
  </si>
  <si>
    <t>宠物沿小路慢慢散步，并回头看向用户/镜头</t>
  </si>
  <si>
    <t>金黄色落叶；森林小路</t>
  </si>
  <si>
    <t>宠物位于小路上向前行走，同时头部回转看向后方/镜头；落叶铺在地面</t>
  </si>
  <si>
    <t>秋季；金黄色调；安静、自然、略带温暖感</t>
  </si>
  <si>
    <t>全身三分之四侧后方动态构图，既体现前行方向，又清楚看到回头后的脸部</t>
  </si>
  <si>
    <t>重点测试非正面视角下的身份保持、回头动作和高密度落叶纹理</t>
  </si>
  <si>
    <t>C09</t>
  </si>
  <si>
    <t>“它坐在自己的小星球上，周围有一些柔和发光的植物，远处能看到星空和其他小星球，感觉像它在那里安静生活。”</t>
  </si>
  <si>
    <t>宠物自己的小星球，周围是星空与其他小星球</t>
  </si>
  <si>
    <t>宠物安静地坐在自己的小星球上，呈自然生活状态</t>
  </si>
  <si>
    <t>柔和发光的植物；远处星空；其他小星球</t>
  </si>
  <si>
    <t>发光植物分布在宠物周围；宠物位于小星球表面；其他小星球位于远处背景</t>
  </si>
  <si>
    <t>夜晚幻想环境；柔和发光；宁静、温暖、有陪伴感</t>
  </si>
  <si>
    <t>中远景，宠物保持为清晰主体，同时能看出“小星球”整体环境及远处星空层次</t>
  </si>
  <si>
    <t>Pawlight核心世界观用例，测试幻想场景、非现实光源与宠物身份/风格融合</t>
  </si>
  <si>
    <t>C10</t>
  </si>
  <si>
    <t>“像从一个观察窗里看到它一样，它正在自己的小屋门口休息，旁边有喜欢的玩具和几株植物，远处是星空，画面有生活感。”</t>
  </si>
  <si>
    <t>从观察窗视角看到的宠物小屋门口，远处为星空</t>
  </si>
  <si>
    <t>宠物在自己的小屋门口自然休息，状态松弛、有生活感</t>
  </si>
  <si>
    <t>宠物小屋；喜欢的玩具；几株植物；远处星空</t>
  </si>
  <si>
    <t>宠物位于小屋门口；玩具和植物分布在宠物身旁；星空位于远处背景</t>
  </si>
  <si>
    <t>夜晚；安静、温暖、日常、有持续生活感</t>
  </si>
  <si>
    <t>明确采用“观察窗”视角的中景/中远景构图，宠物与小屋门口为视觉核心，同时保留前后景层次</t>
  </si>
  <si>
    <t>综合用例：同时检验特殊身份特征、建筑、多元素、空间关系及Pawlight最终产品展示形态</t>
  </si>
  <si>
    <t>一级维度</t>
  </si>
  <si>
    <t>二级指标</t>
  </si>
  <si>
    <t>权重</t>
  </si>
  <si>
    <t>原始满分</t>
  </si>
  <si>
    <t>0分</t>
  </si>
  <si>
    <t>1分</t>
  </si>
  <si>
    <t>2分</t>
  </si>
  <si>
    <t>3分</t>
  </si>
  <si>
    <t>4分</t>
  </si>
  <si>
    <t>5分</t>
  </si>
  <si>
    <t>主要观察点</t>
  </si>
  <si>
    <t>权重/规则说明</t>
  </si>
  <si>
    <t>宠物身份还原</t>
  </si>
  <si>
    <t>完全缺失或相反</t>
  </si>
  <si>
    <t>几乎消失，仅勉强存在类似元素</t>
  </si>
  <si>
    <t>只保留大致概念，已不是原特征</t>
  </si>
  <si>
    <t>特征存在，但位置/面积/形态明显变化</t>
  </si>
  <si>
    <t>清楚保留，仅轻微偏差</t>
  </si>
  <si>
    <t>完整保留，位置和形态基本一致</t>
  </si>
  <si>
    <t>预先定义的个体关键特征</t>
  </si>
  <si>
    <t>身份锚点共12分，是“是不是这只宠物”的最直接信号</t>
  </si>
  <si>
    <t>同上</t>
  </si>
  <si>
    <t>头脸结构</t>
  </si>
  <si>
    <t>头脸类型明显错误</t>
  </si>
  <si>
    <t>只有粗略品种特征一致</t>
  </si>
  <si>
    <t>类似类型，但个体脸型明显泛化</t>
  </si>
  <si>
    <t>整体一致，局部比例有偏差</t>
  </si>
  <si>
    <t>头脸比例、脸型、口鼻结构高度一致</t>
  </si>
  <si>
    <t>48</t>
  </si>
  <si>
    <t>脸长宽、额头、口鼻长度、眼距、颊部、下巴</t>
  </si>
  <si>
    <t>猫狗个体识别中最重要的稳定区域之一</t>
  </si>
  <si>
    <t>毛色</t>
  </si>
  <si>
    <t>主体毛色错误</t>
  </si>
  <si>
    <t>仅深浅色等粗粒度一致</t>
  </si>
  <si>
    <t>颜色类型大致正确，但色调/覆盖比例明显不同</t>
  </si>
  <si>
    <t>主色正确，次色或深浅轻微偏差</t>
  </si>
  <si>
    <t>主色、次色和整体色调基本一致</t>
  </si>
  <si>
    <t>主色、次色、深浅、颜色占比</t>
  </si>
  <si>
    <t>重要，但单独不能证明个体身份</t>
  </si>
  <si>
    <t>花纹与色块分布</t>
  </si>
  <si>
    <t>主要花纹消失或完全改变</t>
  </si>
  <si>
    <t>仅保留“有花纹/虎斑”等类别特征</t>
  </si>
  <si>
    <t>花纹类型正确，但位置/范围明显改变</t>
  </si>
  <si>
    <t>整体结构正确，少量局部偏差</t>
  </si>
  <si>
    <t>主要花纹位置、范围、关系基本一致</t>
  </si>
  <si>
    <t>色块位置、大小、数量、左右关系、条纹/斑点</t>
  </si>
  <si>
    <t>对花猫、花狗等个体识别贡献高</t>
  </si>
  <si>
    <t>体型与身体比例</t>
  </si>
  <si>
    <t>体型类别明显错误</t>
  </si>
  <si>
    <t>只保留品种常见体型</t>
  </si>
  <si>
    <t>大小类型正确，但比例明显变化</t>
  </si>
  <si>
    <t>整体体型正确，仅轻微胖瘦/比例变化</t>
  </si>
  <si>
    <t>体型、胖瘦、头身比、四肢比例基本一致</t>
  </si>
  <si>
    <t>胖瘦、躯干、腿长、胸宽、头身比、尾巴比例</t>
  </si>
  <si>
    <t>用于区分“同品种的另一只宠物”</t>
  </si>
  <si>
    <t>耳朵</t>
  </si>
  <si>
    <t>耳型错误</t>
  </si>
  <si>
    <t>只有品种常见耳型一致</t>
  </si>
  <si>
    <t>同类耳型但明显泛化</t>
  </si>
  <si>
    <t>类型一致，比例或角度略有变化</t>
  </si>
  <si>
    <t>形状、大小、状态、位置高度一致</t>
  </si>
  <si>
    <t>立/折/垂耳、大小、角度、左右差异</t>
  </si>
  <si>
    <t>猫狗高辨识度局部特征</t>
  </si>
  <si>
    <t>眼睛/鼻子/口鼻部</t>
  </si>
  <si>
    <t>主要特征明显错误</t>
  </si>
  <si>
    <t>只保留泛化品种特征</t>
  </si>
  <si>
    <t>类别正确但个体差异明显</t>
  </si>
  <si>
    <t>大部分一致，有轻微细节偏差</t>
  </si>
  <si>
    <t>主要可观察特征基本一致</t>
  </si>
  <si>
    <t>眼色眼型、鼻色鼻型、口鼻部色块</t>
  </si>
  <si>
    <t>辨识力较高，但受参考图清晰度影响</t>
  </si>
  <si>
    <t>品种/毛发类型</t>
  </si>
  <si>
    <t>品种或毛发类型明显错误</t>
  </si>
  <si>
    <t>只能识别为类似类型</t>
  </si>
  <si>
    <t>品种大致正确，毛发特征明显不同</t>
  </si>
  <si>
    <t>基本一致，毛量/长度略有变化</t>
  </si>
  <si>
    <t>品种与毛发类型一致</t>
  </si>
  <si>
    <t>长短毛、卷直、毛量、基础品种表型</t>
  </si>
  <si>
    <t>Pawlight判断的是个体而不是品种，因此权重较低</t>
  </si>
  <si>
    <t>用户场景需求还原</t>
  </si>
  <si>
    <t>核心环境完全错误或冲突</t>
  </si>
  <si>
    <t>仅有少量相关元素，整体环境偏离</t>
  </si>
  <si>
    <t>只还原部分场景语义，地点大类接近</t>
  </si>
  <si>
    <t>核心地点正确，缺少次级环境特征或有偏差</t>
  </si>
  <si>
    <t>核心地点及主要环境特征完整正确</t>
  </si>
  <si>
    <t>用户要求宠物身处的地点/环境</t>
  </si>
  <si>
    <t>权重最高，直接决定用户想象中的世界是否被建立</t>
  </si>
  <si>
    <t>核心动作完全错误或相反</t>
  </si>
  <si>
    <t>只有粗略动作类别相近</t>
  </si>
  <si>
    <t>部分动作要求满足，但行为表达不完整</t>
  </si>
  <si>
    <t>核心动作正确，朝向/状态轻微偏差</t>
  </si>
  <si>
    <t>核心动作、朝向、姿态、状态基本正确</t>
  </si>
  <si>
    <t>坐、趴、跑、回头、看向远处、安静等</t>
  </si>
  <si>
    <t>宠物在场景中“正在做什么”是核心叙事</t>
  </si>
  <si>
    <t>核心指定元素缺失或错误</t>
  </si>
  <si>
    <t>只出现模糊相似元素</t>
  </si>
  <si>
    <t>部分元素缺失，或关键属性明显错误</t>
  </si>
  <si>
    <t>核心元素全部出现，仅一个次要属性有偏差</t>
  </si>
  <si>
    <t>所有关键元素正确出现，类型/数量/主要属性准确</t>
  </si>
  <si>
    <t>用户特别指定的物体、颜色、数量等</t>
  </si>
  <si>
    <t>私人纪念物可能具有强情感价值</t>
  </si>
  <si>
    <t>关系完全错误或相反</t>
  </si>
  <si>
    <t>仅能看出大致相关，空间逻辑基本未执行</t>
  </si>
  <si>
    <t>元素存在，但重要空间关系明显错误</t>
  </si>
  <si>
    <t>核心关系正确，仅距离/方向轻微偏差</t>
  </si>
  <si>
    <t>所有核心空间关系正确</t>
  </si>
  <si>
    <t>旁边、身后、窗边、门口、看向等</t>
  </si>
  <si>
    <t>区分“元素生成了”和“模型真正理解了关系”</t>
  </si>
  <si>
    <t>与要求完全冲突</t>
  </si>
  <si>
    <t>只有少量相关视觉线索</t>
  </si>
  <si>
    <t>部分条件正确，但整体感受明显偏差</t>
  </si>
  <si>
    <t>整体氛围正确，仅次要条件不足</t>
  </si>
  <si>
    <t>时间、光线、天气、情绪等核心要求清晰正确</t>
  </si>
  <si>
    <t>清晨/日落/夜晚、晴雪雾、安静/温暖等</t>
  </si>
  <si>
    <t>体现用户想表达的感觉，而非单纯审美</t>
  </si>
  <si>
    <t>构图/镜头</t>
  </si>
  <si>
    <t>主要构图要求完全错误</t>
  </si>
  <si>
    <t>只有画幅等基础要求正确</t>
  </si>
  <si>
    <t>部分满足，但重要镜头要求未执行</t>
  </si>
  <si>
    <t>主要要求满足，仅位置/比例轻微偏差</t>
  </si>
  <si>
    <t>所有主要构图与镜头要求准确执行</t>
  </si>
  <si>
    <t>全身/半身、远中近景、正侧背、主体占比</t>
  </si>
  <si>
    <t>权重较低，但影响结果是否适合星球观察窗</t>
  </si>
  <si>
    <t>动漫风格与融合</t>
  </si>
  <si>
    <t>目标动漫风格匹配</t>
  </si>
  <si>
    <t>未完成目标风格转化或完全错误</t>
  </si>
  <si>
    <t>仅少量动漫化，仍接近照片或过度夸张</t>
  </si>
  <si>
    <t>有动漫化，但明显偏向其他风格</t>
  </si>
  <si>
    <t>整体方向正确，略偏写实/偏卡通</t>
  </si>
  <si>
    <t>符合Pawlight目标动漫风格，转化程度适中</t>
  </si>
  <si>
    <t>真实比例、适度简化、不极端Q版、不纯写实</t>
  </si>
  <si>
    <t>判断“画法对不对”，不重复评价身份</t>
  </si>
  <si>
    <t>宠物与场景风格一致</t>
  </si>
  <si>
    <t>主体与背景完全属于不同视觉体系</t>
  </si>
  <si>
    <t>风格割裂明显，有强烈贴图感</t>
  </si>
  <si>
    <t>可接受但主体与背景明显存在风格差异</t>
  </si>
  <si>
    <t>整体统一，仅局部细节密度/写实度有差异</t>
  </si>
  <si>
    <t>宠物与环境风格高度一致</t>
  </si>
  <si>
    <t>线条、写实程度、材质、细节密度、色彩处理</t>
  </si>
  <si>
    <t>保证宠物和场景属于同一个世界</t>
  </si>
  <si>
    <t>光影/材质/边缘融合</t>
  </si>
  <si>
    <t>主体与环境几乎完全脱离</t>
  </si>
  <si>
    <t>融合问题严重，明显抠图/贴图感</t>
  </si>
  <si>
    <t>存在明显但可接受的融合问题</t>
  </si>
  <si>
    <t>整体自然，仅局部光影或边缘轻微问题</t>
  </si>
  <si>
    <t>光线、阴影、色温、材质和边缘自然协调</t>
  </si>
  <si>
    <t>光源方向、阴影、色温、毛发边缘、接触区域</t>
  </si>
  <si>
    <t>判断宠物是否真的“在这个场景里”</t>
  </si>
  <si>
    <t>生成质量与结构正确性</t>
  </si>
  <si>
    <t>身体结构正确</t>
  </si>
  <si>
    <t>结构严重崩坏，无法使用</t>
  </si>
  <si>
    <t>严重结构异常，明显影响主体</t>
  </si>
  <si>
    <t>存在肉眼可见结构异常</t>
  </si>
  <si>
    <t>有轻微结构问题，但不影响整体观看</t>
  </si>
  <si>
    <t>身体结构完整自然，无明显异常</t>
  </si>
  <si>
    <t>四肢数量、关节、躯干、尾巴、穿插</t>
  </si>
  <si>
    <t>严重结构错误另触发一票否决</t>
  </si>
  <si>
    <t>面部与局部结构正确</t>
  </si>
  <si>
    <t>面部/局部严重崩坏</t>
  </si>
  <si>
    <t>多处结构错误，明显影响主体</t>
  </si>
  <si>
    <t>至少一个局部结构有明显问题</t>
  </si>
  <si>
    <t>存在轻微不自然，但正常观看不明显</t>
  </si>
  <si>
    <t>面部和主要局部结构自然</t>
  </si>
  <si>
    <t>眼鼻口、耳朵、爪子、五官位置和融合</t>
  </si>
  <si>
    <t>动漫化简化不等于结构错误</t>
  </si>
  <si>
    <t>生成瑕疵控制</t>
  </si>
  <si>
    <t>大量或严重瑕疵，无法交付</t>
  </si>
  <si>
    <t>瑕疵明显且影响成片质量</t>
  </si>
  <si>
    <t>存在明显瑕疵但未破坏主体可用性</t>
  </si>
  <si>
    <t>少量局部瑕疵，需仔细观察</t>
  </si>
  <si>
    <t>无明显生成瑕疵</t>
  </si>
  <si>
    <t>重影、融合、破碎、异常纹理、伪文字</t>
  </si>
  <si>
    <t>只评价生成错误，不评价画面是否惊艳</t>
  </si>
  <si>
    <t>Pawlight产品适配</t>
  </si>
  <si>
    <t>纪念语义边界</t>
  </si>
  <si>
    <t>核心变成死亡/葬礼/墓地/升天等冲突叙事</t>
  </si>
  <si>
    <t>明显加入未经要求的死亡/天堂/宗教等表达</t>
  </si>
  <si>
    <t>存在一定未经要求的纪念化表达</t>
  </si>
  <si>
    <t>边界基本正确，仅有轻微模糊联想</t>
  </si>
  <si>
    <t>无未经要求的死亡、宗教、过度拟人或纪念符号</t>
  </si>
  <si>
    <t>是否擅自增加墓碑、RIP、天使、宗教、过度拟人等</t>
  </si>
  <si>
    <t>用户主动要求的内容不因本项处罚；严重越界另触发一票否决</t>
  </si>
  <si>
    <t>世界观一致性</t>
  </si>
  <si>
    <t>与Pawlight世界观完全冲突</t>
  </si>
  <si>
    <t>明显偏纪念海报/宠物写真等其他形态</t>
  </si>
  <si>
    <t>可作为宠物图，但缺乏另一个生活世界的表达</t>
  </si>
  <si>
    <t>整体符合，仅略偏普通宠物插画</t>
  </si>
  <si>
    <t>宠物自然生活在场景中，有“TA在那里继续生活”的感觉</t>
  </si>
  <si>
    <t>宠物是场景中的居民，而非静止纪念物</t>
  </si>
  <si>
    <t>体现Pawlight区别于传统纪念海报的产品表达</t>
  </si>
  <si>
    <t>严重失败（一票否决）规则</t>
  </si>
  <si>
    <t>身份严重失败</t>
  </si>
  <si>
    <t>物种错误；品种完全错误；主要毛色完全错误；多个关键身份特征完全丢失</t>
  </si>
  <si>
    <t>场景严重失败</t>
  </si>
  <si>
    <t>核心环境完全错误；核心纪念元素完全错误/缺失，导致用户需求含义被改变</t>
  </si>
  <si>
    <t>结构严重失败</t>
  </si>
  <si>
    <t>明显多肢/少肢/多头；面部严重崩坏；身体严重融合、断裂或无法合理解释</t>
  </si>
  <si>
    <t>产品语义严重失败</t>
  </si>
  <si>
    <t>未经要求主动生成墓碑/墓地/RIP等死亡核心叙事；尸体/伤口/明显病痛；恐怖/极端痛苦；强烈宗教或升天叙事；完全拟人化导致宠物身份消失</t>
  </si>
  <si>
    <t>判定原则</t>
  </si>
  <si>
    <t>严重失败独立于100分评分。一旦触发，生产判定直接为“严重失败”；用户主动提出的翅膀、云端等内容不因本项自动处罚。</t>
  </si>
  <si>
    <t>记录编号</t>
  </si>
  <si>
    <t>模型</t>
  </si>
  <si>
    <t>模型版本</t>
  </si>
  <si>
    <t>生成轮次</t>
  </si>
  <si>
    <t>结果文件</t>
  </si>
  <si>
    <t>评审人</t>
  </si>
  <si>
    <t>锚点1
0-5</t>
  </si>
  <si>
    <t>锚点2
0-5</t>
  </si>
  <si>
    <t>锚点3
0-5</t>
  </si>
  <si>
    <t>头脸结构
0-4</t>
  </si>
  <si>
    <t>毛色
0-4</t>
  </si>
  <si>
    <t>花纹色块
0-4</t>
  </si>
  <si>
    <t>体型比例
0-4</t>
  </si>
  <si>
    <t>耳朵
0-4</t>
  </si>
  <si>
    <t>眼鼻口
0-4</t>
  </si>
  <si>
    <t>品种毛发
0-4</t>
  </si>
  <si>
    <t>身份还原
/45</t>
  </si>
  <si>
    <t>核心环境
0-4</t>
  </si>
  <si>
    <t>动作状态
0-4</t>
  </si>
  <si>
    <t>关键元素
0-4</t>
  </si>
  <si>
    <t>空间关系
0-4</t>
  </si>
  <si>
    <t>氛围条件
0-4</t>
  </si>
  <si>
    <t>构图镜头
0-4</t>
  </si>
  <si>
    <t>场景还原
/30</t>
  </si>
  <si>
    <t>目标动漫风格
0-4</t>
  </si>
  <si>
    <t>风格一致
0-4</t>
  </si>
  <si>
    <t>融合自然
0-4</t>
  </si>
  <si>
    <t>动漫风格与融合
/10</t>
  </si>
  <si>
    <t>身体结构
0-4</t>
  </si>
  <si>
    <t>面部局部
0-4</t>
  </si>
  <si>
    <t>生成瑕疵
0-4</t>
  </si>
  <si>
    <t>生成质量
/10</t>
  </si>
  <si>
    <t>纪念语义边界
0-4</t>
  </si>
  <si>
    <t>世界观一致
0-4</t>
  </si>
  <si>
    <t>产品适配
/5</t>
  </si>
  <si>
    <t>总分
/100</t>
  </si>
  <si>
    <t>严重失败类型</t>
  </si>
  <si>
    <t>严重失败？</t>
  </si>
  <si>
    <t>身份判定</t>
  </si>
  <si>
    <t>场景判定</t>
  </si>
  <si>
    <t>风格判定</t>
  </si>
  <si>
    <t>质量判定</t>
  </si>
  <si>
    <t>产品判定</t>
  </si>
  <si>
    <t>生产判定</t>
  </si>
  <si>
    <t>生成耗时（秒）</t>
  </si>
  <si>
    <t>单次成本（元）</t>
  </si>
  <si>
    <t>R001</t>
  </si>
  <si>
    <t>Nano Banana</t>
  </si>
  <si>
    <t>3 Lite</t>
  </si>
  <si>
    <t>第一轮</t>
  </si>
  <si>
    <t>R002</t>
  </si>
  <si>
    <t>第二轮</t>
  </si>
  <si>
    <t>R003</t>
  </si>
  <si>
    <t>Seedream</t>
  </si>
  <si>
    <t>5.0 flash</t>
  </si>
  <si>
    <t>R004</t>
  </si>
  <si>
    <t>R005</t>
  </si>
  <si>
    <t>GPT image</t>
  </si>
  <si>
    <t>R006</t>
  </si>
  <si>
    <t>R007</t>
  </si>
  <si>
    <t>R008</t>
  </si>
  <si>
    <t>R009</t>
  </si>
  <si>
    <t>侧脸角度仅清晰显示一只眼，双眼特征不足以完全确认。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</si>
  <si>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</si>
  <si>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</si>
  <si>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</si>
  <si>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</si>
  <si>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</si>
  <si>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</si>
  <si>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</si>
  <si>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</si>
  <si>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</si>
  <si>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</si>
  <si>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</si>
  <si>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</si>
  <si>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</si>
  <si>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</si>
  <si>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</si>
  <si>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</si>
  <si>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</si>
  <si>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</si>
  <si>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</si>
  <si>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</si>
  <si>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</si>
  <si>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</si>
  <si>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</si>
  <si>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</si>
  <si>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</si>
  <si>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</si>
  <si>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</si>
  <si>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</si>
  <si>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</si>
  <si>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</si>
  <si>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侧后方角度下脸部中央白色纵向花纹仅部分可见，按可确认信息保守评分。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</si>
  <si>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</si>
  <si>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</si>
  <si>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</si>
  <si>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</si>
  <si>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</si>
  <si>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</si>
  <si>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</si>
  <si>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</si>
  <si>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</si>
  <si>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</si>
  <si>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</si>
  <si>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</si>
  <si>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</si>
  <si>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</si>
  <si>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</si>
  <si>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</si>
  <si>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</si>
  <si>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</si>
  <si>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</si>
  <si>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</si>
  <si>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</si>
  <si>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右下角有“AI生成”水印，计入生成瑕疵。</t>
  </si>
  <si>
    <t>宠物毛发渲染明显偏写实插画，动漫化程度不足。</t>
  </si>
  <si>
    <t>黑毛整体偏深棕色；金色眼睛相对脸部占比小于参考图。</t>
  </si>
  <si>
    <t>侧面仰视构图，仅可见一只眼睛，眼睛大小/圆脸宽度不足以完全确认；右下角有“AI生成”水印。</t>
  </si>
  <si>
    <t>侧面构图，仅可见一只眼睛，不足以完全确认眼睛占比；山坡亮度接近白天，夜晚氛围减弱；宠物在画面中占比偏小；右下角有“AI生成”水印。</t>
  </si>
  <si>
    <t>宠物直视镜头而非看向星空；猫毛质感明显偏写实。</t>
  </si>
  <si>
    <t>身体彩色色块面积明显大于参考图，白色主体比例下降；眼睛为琥珀黄，参考图偏灰绿。</t>
  </si>
  <si>
    <t>身体彩色色块面积明显大于参考图，白色主体比例下降。</t>
  </si>
  <si>
    <t>脸部橘色侧基本消失、白色额纹偏移；体型明显胖化；抬头看天空而非直视日落；右下角有“AI生成”水印。</t>
  </si>
  <si>
    <t>深色侧脸斑弱化、白色区域偏向一侧；体型明显胖化；眼睛为泛化黑色大眼；右下角有“AI生成”水印。</t>
  </si>
  <si>
    <t>宠物直视镜头而非看向日落；毛发渲染明显偏写实。</t>
  </si>
  <si>
    <t>生成为成年萨摩耶脸型与体型，口鼻明显变长，幼犬圆脸短口鼻特征弱化；毯子沿用参考图中的豹纹毯，属合理推断。</t>
  </si>
  <si>
    <t>生成为成年萨摩耶脸型与体型，口鼻明显变长，幼犬圆脸短口鼻特征弱化。</t>
  </si>
  <si>
    <t>毛量被平涂简化，蓬松外轮廓弱于参考图；主体与窗台接触处阴影弱，略有贴图感；右下角有“AI生成”水印。</t>
  </si>
  <si>
    <t>毛量被平涂简化；主体与窗台接触处阴影弱，略有贴图感；右下角有“AI生成”水印。</t>
  </si>
  <si>
    <t>毯子铺在宠物身下而非“旁边”；近景构图，窗外花园只露出一角；毛发渲染明显偏写实。</t>
  </si>
  <si>
    <t>毯子铺在宠物身下而非“旁边”；毛发渲染明显偏写实。</t>
  </si>
  <si>
    <t>宠物原地站立面向镜头，没有“慢慢往前走”；脚印未沿宠物行走路径分布；身体侧面多出一块白斑。</t>
  </si>
  <si>
    <t>前景大脚印出现在宠物前进方向前方，与行走路径逻辑不符。</t>
  </si>
  <si>
    <t>动作更像小跑/蹦跳而非慢走；前景脚印位于宠物前进方向前方；右下角有“AI生成”水印。</t>
  </si>
  <si>
    <t>前景脚印位于宠物前进方向前方；右下角有“AI生成”水印。</t>
  </si>
  <si>
    <t>身体侧面出现参考图没有的深色斑；前景脚印位于前进方向前方；整体暖金色调，“整体偏冷+木屋暖光”的冷暖对比不足；毛发渲染明显偏写实。</t>
  </si>
  <si>
    <t>身体侧面出现参考图没有的深色斑；前景脚印位于前进方向前方；整体暖金色调，冷暖对比不足；毛发渲染明显偏写实。</t>
  </si>
  <si>
    <t>宠物在奔跑但视线朝向镜头而非蝴蝶，追逐表达不完整；项圈沿用参考图，不影响评分。</t>
  </si>
  <si>
    <t>保留了参考图中的项圈和牵引绳，特征卡说明不要求保留，未扣分。</t>
  </si>
  <si>
    <t>画面出现多只蝴蝶，与“一只蝴蝶”的数量要求不符；毛色偏巧克力棕，红棕调减弱；右下角有“AI生成”水印。</t>
  </si>
  <si>
    <t>宠物朝镜头小跑，蝴蝶在侧方，追逐关系较弱；眼睛被夸张卡通化；毛色偏巧克力棕；右下角有淡水印。</t>
  </si>
  <si>
    <t>奔跑中视线朝向镜头而非蝴蝶；毛发渲染明显偏写实。</t>
  </si>
  <si>
    <t>侧脸视角，白色纵向额纹的完整走向不足以确认。</t>
  </si>
  <si>
    <t>背侧视角，脸部白色额纹与粉色鼻头不可见，不足以确认，按保守档评分；眼睛为亮绿色；右下角有淡水印。</t>
  </si>
  <si>
    <t>宠物抬头看向右上方天空，未看向身后远山；眼睛为纯绿色，参考图为黄绿色；体型明显偏胖；右下角有“AI生成”水印。</t>
  </si>
  <si>
    <t>宠物侧视画面外，未明确看向远山；毛发渲染明显偏写实。</t>
  </si>
  <si>
    <t>身体被画面左侧裁切，未满足全身三分之四侧后方构图；躯干偏长偏大、毛发偏长；站立回看而非明显的散步回头。</t>
  </si>
  <si>
    <t>为侧前方视角而非三分之四侧后方；毛发偏长、体型偏大，不如参考图紧凑。</t>
  </si>
  <si>
    <t>背后视角下前肢基本不可见，躯干呈柱状、回头角度较大，结构略不自然；右下角有“AI生成”水印。</t>
  </si>
  <si>
    <t>躯干偏长，不如参考图紧凑；右下角有“AI生成”水印。</t>
  </si>
  <si>
    <t>毛发渲染明显偏写实；尾巴在参考图中不可见，未作为扣分依据。</t>
  </si>
  <si>
    <t>毛发偏长偏蓬松，与参考图短毛有差异；毛发渲染明显偏写实。</t>
  </si>
  <si>
    <t>“小星球”呈现为漂浮岩块/浮岛，星球感不足；眼神与表情偏凌厉，与参考图圆眼神态有差异；参考图仅头部近照，体型按不可见区域不扣分。</t>
  </si>
  <si>
    <t>参考图仅头部近照，体型按不可见区域不扣分。</t>
  </si>
  <si>
    <t>左上角出现参考图截图界面的“实况 ∨”文字，右下角有“AI生成”水印；眼睛为高饱和亮蓝，参考图为浅冰蓝。</t>
  </si>
  <si>
    <t>宠物坐在岩石花地上，看不出“小星球”整体形态，中远景星球环境层次不足；毛发渲染明显偏写实；参考图仅头部近照，体型按不可见区域不扣分。</t>
  </si>
  <si>
    <t>看不出“小星球”整体形态，中远景星球环境层次不足；毛发渲染明显偏写实；参考图仅头部近照，体型按不可见区域不扣分。</t>
  </si>
  <si>
    <t>异色瞳清晰保留；生成为成年猫体型，脸型偏圆、耳朵偏小，参考图窄脸大尖耳的幼猫轮廓减弱。</t>
  </si>
  <si>
    <t>星空位于观察窗外围前景而非宠物身后远景；小屋门洞呈猫头剪影形状，易被误读为第二只猫的阴影；黑毛偏深棕色。</t>
  </si>
  <si>
    <t>画面更像从门框看入室内，“观察窗”视角表达较弱；成年猫体型、耳朵偏小；右下角有淡水印。</t>
  </si>
  <si>
    <t>背部出现棕色色斑、尾巴出现深浅环纹，与“全身纯黑无杂色”不符；宠物躺在小屋内部而非门口；植物仅少量；右下角有“AI生成”水印。</t>
  </si>
  <si>
    <t>黑毛高光处略带棕调；毛发渲染明显偏写实。</t>
  </si>
  <si>
    <t>Pawlight 待人工复核项｜ChatGPT vs Claude</t>
  </si>
  <si>
    <t>两位独立评审共比较 1440 个细分评分点：完全一致 1017 个（70.6%），分差≤1分 1367 个（94.9%），分差≥2分 73 个（5.1%）。本表只保留建议人工复核的20张结果图；优先解决会改变身份/风格门槛或生产判定的分歧。</t>
  </si>
  <si>
    <t>先统一的全局评分口径</t>
  </si>
  <si>
    <t>分歧主题</t>
  </si>
  <si>
    <t>ChatGPT口径</t>
  </si>
  <si>
    <t>Claude口径</t>
  </si>
  <si>
    <t>覆盖范围/证据</t>
  </si>
  <si>
    <t>影响</t>
  </si>
  <si>
    <t>建议人工处理</t>
  </si>
  <si>
    <t>GPT Image：目标动漫风格</t>
  </si>
  <si>
    <t>20/20张均打0分：认为基本没有达到Pawlight目标动漫风格</t>
  </si>
  <si>
    <t>20/20张均打2分：认为已风格化，但与目标风格有明显偏差</t>
  </si>
  <si>
    <t>全部20张GPT Image固定出现 0 vs 2</t>
  </si>
  <si>
    <t>直接决定GPT Image风格是否过7/10门槛</t>
  </si>
  <si>
    <t>先抽R005、R047等代表图统一0/1/2档口径，再批量应用；不要逐张重复争论同一口径</t>
  </si>
  <si>
    <t>身份还原：同品种 vs 同一只宠物</t>
  </si>
  <si>
    <t>在P01/P03/P04的Nano Banana结果上整体更宽松</t>
  </si>
  <si>
    <t>对身份锚点、头脸和体型更严格</t>
  </si>
  <si>
    <t>C01、C03、C04出现大量1-2分差异，部分使身份分跨越36/45门槛</t>
  </si>
  <si>
    <t>直接改变生产可用判定</t>
  </si>
  <si>
    <t>优先按身份锚点+头脸比例判断“还是不是这只宠物”，不要只看品种正确</t>
  </si>
  <si>
    <t>Seedream：风格一致性/融合</t>
  </si>
  <si>
    <t>C04/C06/C08/C10若干图给2-3分，认为主体与场景存在割裂</t>
  </si>
  <si>
    <t>同图多次给4分，认为整体风格和融合自然</t>
  </si>
  <si>
    <t>R021、R022、R034、R045、R046、R058最明显</t>
  </si>
  <si>
    <t>部分图片会跨越风格7/10门槛</t>
  </si>
  <si>
    <t>重点判断是否存在贴图感、写实程度不一致、光源/色温不属于同一场景</t>
  </si>
  <si>
    <t>多给3分</t>
  </si>
  <si>
    <t>多给4分</t>
  </si>
  <si>
    <t>33/60张出现3 vs 4，但几乎都是1分差</t>
  </si>
  <si>
    <t>对模型最终排序影响有限</t>
  </si>
  <si>
    <t>本轮低优先级；只有最终结果非常接近时再统一口径</t>
  </si>
  <si>
    <t>优先级</t>
  </si>
  <si>
    <t>用例</t>
  </si>
  <si>
    <t>样本</t>
  </si>
  <si>
    <t>版本</t>
  </si>
  <si>
    <t>轮次</t>
  </si>
  <si>
    <t>ChatGPT总分</t>
  </si>
  <si>
    <t>Claude总分</t>
  </si>
  <si>
    <t>总分差</t>
  </si>
  <si>
    <t>ChatGPT判定</t>
  </si>
  <si>
    <t>Claude判定</t>
  </si>
  <si>
    <t>主要分歧细项（ChatGPT vs Claude）</t>
  </si>
  <si>
    <t>其他次要分歧（Δ=1）</t>
  </si>
  <si>
    <t>人工复核重点</t>
  </si>
  <si>
    <t>人工结论</t>
  </si>
  <si>
    <t>人工最终分项/备注</t>
  </si>
  <si>
    <t>P1</t>
  </si>
  <si>
    <t>生产可用</t>
  </si>
  <si>
    <t>待复核</t>
  </si>
  <si>
    <t>锚点3：5 vs 4（Δ1）
头脸结构：4 vs 3（Δ1）
体型比例：4 vs 3（Δ1）</t>
  </si>
  <si>
    <t>毛色4 vs3；花纹4 vs3；耳朵4 vs3；品种毛发4 vs3</t>
  </si>
  <si>
    <t>P01金毛：确认头脸宽度、体型比例、耳型是否真的接近原宠。Claude身份分刚低于36分门槛，属于“同品种像不像同一只”的典型分歧。</t>
  </si>
  <si>
    <t>锚点3：4分；头脸结构：3分；体型比例：4分；</t>
  </si>
  <si>
    <t/>
  </si>
  <si>
    <t>花纹4 vs3；耳朵4 vs3；品种毛发4 vs3；氛围4 vs3；融合4 vs3</t>
  </si>
  <si>
    <t>与R001成对看，统一P01身份评分尺度；两轮Nano Banana不应因轮次产生明显不同口径。</t>
  </si>
  <si>
    <t>头脸结构：3 vs 2（Δ1）
品种毛发：2 vs 3（Δ1）
风格一致：3 vs 4（Δ1）</t>
  </si>
  <si>
    <t>花纹4 vs3；耳朵4 vs3；氛围3 vs4；目标动漫3 vs4；融合3 vs4；生成瑕疵4 vs3；世界观3 vs4</t>
  </si>
  <si>
    <t>同时复核两件事：①P01身份是否过36分；②Seedream的动漫风格、主体与背景融合是否真的达到4分档。</t>
  </si>
  <si>
    <t>头脸结构：2分；品种毛发：2分；风格一致：3分；</t>
  </si>
  <si>
    <t>2.5</t>
  </si>
  <si>
    <t>锚点1：3 vs 5（Δ2）
锚点2：3 vs 5（Δ2）
目标动漫风格：0 vs 2（Δ2）</t>
  </si>
  <si>
    <t>头脸3 vs4；毛色3 vs4；花纹3 vs4；风格一致4 vs3</t>
  </si>
  <si>
    <t>先裁定GPT Image的目标动漫风格到底应是0、1还是2；再看P01两个身份锚点是否足以给到5分。</t>
  </si>
  <si>
    <t>锚点1：3分；锚点2:4分；</t>
  </si>
  <si>
    <t>GPT目标动漫风格统一给1分，下同</t>
  </si>
  <si>
    <t>与R005一起看；如果两轮画面风格与身份表现相似，应使用同一口径。</t>
  </si>
  <si>
    <t>锚点1：5 vs 3（Δ2）</t>
  </si>
  <si>
    <t>锚点2 5 vs4；锚点3 5 vs4；头脸4 vs3；毛色4 vs3；体型4 vs3；眼鼻口4 vs3；世界观3 vs4</t>
  </si>
  <si>
    <t>P02黑猫：重点看“金黄色大圆眼”这一最高辨识锚点，是完整保留（5）还是仅大致保留（3）。</t>
  </si>
  <si>
    <t>锚点1:4分</t>
  </si>
  <si>
    <t>锚点3：5 vs 3（Δ2）</t>
  </si>
  <si>
    <t>锚点2 5 vs4；头脸4 vs3；毛色4 vs3；花纹4 vs3；体型4 vs3；眼鼻口4 vs3；世界观3 vs4</t>
  </si>
  <si>
    <t>P03三花猫：重点看胸前/前肢大面积白毛及身体三花分布是否真正完整，还是只保留了三花品种感。</t>
  </si>
  <si>
    <t>锚点3:5分</t>
  </si>
  <si>
    <t>锚点2 5 vs4；头脸4 vs3；毛色4 vs3；花纹4 vs3；体型4 vs3；世界观3 vs4</t>
  </si>
  <si>
    <t>与R013一起复核，统一P03身份锚点3的评分口径。</t>
  </si>
  <si>
    <t>锚点2：5 vs 3（Δ2）
体型比例：4 vs 2（Δ2）</t>
  </si>
  <si>
    <t>锚点1 4 vs3；锚点3 5 vs4；头脸3 vs2；风格一致3 vs4；融合3 vs4；生成瑕疵4 vs3；世界观3 vs4</t>
  </si>
  <si>
    <t>重点核对P03额头至鼻梁白色纵向区域、体型/头身比例；这两项直接造成身份是否过36分的差异。</t>
  </si>
  <si>
    <t>锚点2:5分
体型比例：2分</t>
  </si>
  <si>
    <t>锚点1 4 vs3；锚点3 5 vs4；头脸3 vs2；眼鼻口4 vs3；动作3 vs4；风格一致3 vs4；融合3 vs4；生成瑕疵4 vs3；世界观3 vs4</t>
  </si>
  <si>
    <t>与R015成对复核，优先统一P03体型与锚点2，再处理其他1分差异。</t>
  </si>
  <si>
    <t>P0</t>
  </si>
  <si>
    <t>锚点2：5 vs 3（Δ2）
头脸结构：4 vs 2（Δ2）
体型比例：4 vs 2（Δ2）</t>
  </si>
  <si>
    <t>锚点1 5 vs4；锚点3 4 vs3；耳朵4 vs3；眼鼻口4 vs3；品种毛发4 vs3</t>
  </si>
  <si>
    <t>最高优先级。P04萨摩耶：确认圆脸、短厚口鼻、圆润体型是否仍像原宠，而不是只像普通萨摩耶。</t>
  </si>
  <si>
    <t>锚点2:3分；头脸比例：2分；体型比例：3分；眼鼻口：3分</t>
  </si>
  <si>
    <t>锚点1 5 vs4；锚点3 4 vs3；耳朵4 vs3；眼鼻口4 vs3；品种毛发4 vs3；世界观3 vs4</t>
  </si>
  <si>
    <t>与R019一起看；Nano Banana两轮在P04上应使用同一身份尺度。</t>
  </si>
  <si>
    <t>不可用</t>
  </si>
  <si>
    <t>锚点3：2 vs 4（Δ2）
耳朵：2 vs 4（Δ2）
风格一致：2 vs 4（Δ2）</t>
  </si>
  <si>
    <t>锚点2 3 vs4；头脸2 vs3；体型2 vs3；品种毛发2 vs3；目标动漫3 vs4；生成瑕疵4 vs3</t>
  </si>
  <si>
    <t>结论完全相反。重点看小型三角立耳是否保留、宠物与窗边木屋场景是否属于同一视觉体系。</t>
  </si>
  <si>
    <t>锚点3:3分；耳朵：3分；风格一致：4分；锚点2:4分</t>
  </si>
  <si>
    <t>锚点3：2 vs 4（Δ2）
体型比例：2 vs 4（Δ2）
耳朵：2 vs 4（Δ2）
风格一致：2 vs 4（Δ2）</t>
  </si>
  <si>
    <t>锚点2 3 vs4；目标动漫3 vs4；生成瑕疵4 vs3</t>
  </si>
  <si>
    <t>与R021一起看，判断Seedream在P04上的耳型、体型和风格一致性问题是否稳定存在。</t>
  </si>
  <si>
    <t>锚点3:3分；耳朵：2分；风格一致：4分；锚点2:4分</t>
  </si>
  <si>
    <t>风格一致：2 vs 4（Δ2）
融合自然：2 vs 4（Δ2）</t>
  </si>
  <si>
    <t>毛色4 vs3；体型4 vs3；眼鼻口4 vs3；品种毛发3 vs4；动作4 vs3；构图4 vs3；目标动漫3 vs4；生成瑕疵4 vs3；世界观3 vs4</t>
  </si>
  <si>
    <t>重点只看风格：宠物是否有明显贴图感，光影、材质、细节密度是否与花园背景统一。</t>
  </si>
  <si>
    <t>风格一致：4分；融合自然：2分</t>
  </si>
  <si>
    <t>头脸结构：2 vs 4（Δ2）
动作状态：2 vs 4（Δ2）
构图镜头：2 vs 4（Δ2）
风格一致：2 vs 4（Δ2）
融合自然：2 vs 4（Δ2）</t>
  </si>
  <si>
    <t>锚点2 5 vs4；体型2 vs3；空间关系3 vs4；身体结构4 vs3；面部局部3 vs4；生成瑕疵4 vs3；世界观3 vs4</t>
  </si>
  <si>
    <t>全表最大分歧之一。依次确认：回头动作、三分之四侧后方构图、P08脸型、主体与秋林背景融合。</t>
  </si>
  <si>
    <t>头脸结构：4分；动作状态：3分；构图镜头：3分；风格一致：4分；融合自然：2分</t>
  </si>
  <si>
    <t>头脸结构：2 vs 4（Δ2）
风格一致：2 vs 4（Δ2）
融合自然：2 vs 4（Δ2）</t>
  </si>
  <si>
    <t>锚点1 5 vs4；锚点2 5 vs4；体型2 vs3；生成瑕疵4 vs3；世界观3 vs4</t>
  </si>
  <si>
    <t>重点看P08头脸是否被重塑成另一只猫，以及主体与森林背景是否存在明显风格/光影割裂。</t>
  </si>
  <si>
    <t>头脸结构：4分；风格一致：4分；融合自然：2分</t>
  </si>
  <si>
    <t>品种毛发：2 vs 4（Δ2）
目标动漫风格：0 vs 2（Δ2）</t>
  </si>
  <si>
    <t>锚点2 4 vs5；锚点3 4 vs5；头脸3 vs4；体型3 vs4；风格一致4 vs3；世界观3 vs4</t>
  </si>
  <si>
    <t>先套用GPT Image统一动漫风格口径；再判断P08暹罗的短毛、重点色和整体品种毛发特征是否高度一致。</t>
  </si>
  <si>
    <t>品种毛发：4分</t>
  </si>
  <si>
    <t>目标动漫风格：0 vs 2（Δ2）</t>
  </si>
  <si>
    <t>锚点2 4 vs5；锚点3 4 vs5；头脸3 vs4；体型3 vs4；品种毛发2 vs3；风格一致4 vs3；世界观3 vs4</t>
  </si>
  <si>
    <t>主要用于确认GPT Image统一风格档位，并与R047对照P08身份评分的一致性。</t>
  </si>
  <si>
    <t>锚点2：5 vs 3（Δ2）
花纹色块：4 vs 2（Δ2）
风格一致：2 vs 4（Δ2）</t>
  </si>
  <si>
    <t>毛色4 vs3；耳朵4 vs3；核心环境3 vs4；动作4 vs3；空间关系3 vs4；构图3 vs4；融合3 vs4；生成瑕疵4 vs3</t>
  </si>
  <si>
    <t>P10异瞳黑猫：重点看是否被加入不应有的棕调/色块，以及宠物与小屋门口场景是否风格统一。</t>
  </si>
  <si>
    <t>锚点2:5分；花纹色块：4分；风格一致：4分</t>
  </si>
  <si>
    <t>最终分（ChatGPT+Claude+人工复核）</t>
  </si>
  <si>
    <t>否</t>
  </si>
  <si>
    <t>合格</t>
  </si>
  <si>
    <t>已按人工复核整合；锚点3：4分；头脸结构：3分；体型比例：4分；</t>
  </si>
  <si>
    <t>临界</t>
  </si>
  <si>
    <t>已按人工复核整合；头脸结构：2分；品种毛发：2分；风格一致：3分；</t>
  </si>
  <si>
    <t>已按人工复核整合；锚点1：3分；锚点2:4分； GPT目标动漫风格统一给1分，下同</t>
  </si>
  <si>
    <t>已按人工复核整合；锚点1：3分；锚点2:4分；</t>
  </si>
  <si>
    <t>已按人工复核整合；锚点1:4分</t>
  </si>
  <si>
    <t>目标动漫风格统一按1分处理</t>
  </si>
  <si>
    <t>已按人工复核整合；锚点3:5分</t>
  </si>
  <si>
    <t>已按人工复核整合；锚点2:5分
体型比例：2分</t>
  </si>
  <si>
    <t>已按人工复核整合；锚点2:3分；头脸比例：2分；体型比例：3分；眼鼻口：3分</t>
  </si>
  <si>
    <t>已按人工复核整合；锚点3:3分；耳朵：3分；风格一致：4分；锚点2:4分</t>
  </si>
  <si>
    <t>已按人工复核整合；锚点3:3分；耳朵：2分；风格一致：4分；锚点2:4分</t>
  </si>
  <si>
    <t>已按人工复核整合；风格一致：4分；融合自然：2分</t>
  </si>
  <si>
    <t>已按人工复核整合；头脸结构：4分；动作状态：3分；构图镜头：3分；风格一致：4分；融合自然：2分</t>
  </si>
  <si>
    <t>已按人工复核整合；头脸结构：4分；风格一致：4分；融合自然：2分</t>
  </si>
  <si>
    <t>已按人工复核整合；品种毛发：4分</t>
  </si>
  <si>
    <t>已按人工复核整合；锚点2:5分；花纹色块：4分；风格一致：4分</t>
  </si>
  <si>
    <t>模型评测汇总</t>
  </si>
  <si>
    <t>有效样本数</t>
  </si>
  <si>
    <t>平均总分</t>
  </si>
  <si>
    <t>平均身份分</t>
  </si>
  <si>
    <t>平均场景分</t>
  </si>
  <si>
    <t>平均风格分</t>
  </si>
  <si>
    <t>平均质量分</t>
  </si>
  <si>
    <t>平均产品适配分</t>
  </si>
  <si>
    <t>身份合格率</t>
  </si>
  <si>
    <t>场景合格率</t>
  </si>
  <si>
    <t>生产可用率</t>
  </si>
  <si>
    <t>严重失败率</t>
  </si>
  <si>
    <t>平均耗时（秒）</t>
  </si>
  <si>
    <t>平均单次成本（元）</t>
  </si>
  <si>
    <t>总测试成本（元）</t>
  </si>
  <si>
    <t>解读原则：先看生产可用率、身份合格率和严重失败率，再比较平均总分；不要只按平均总分决定模型。</t>
  </si>
  <si>
    <t>建议最终结论至少回答：①哪个模型生产可用率最高；②主要短板集中在哪个维度；③严重失败主要是什么类型；④质量与成本/耗时之间如何取舍。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</si>
</sst>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  <numFmt numFmtId="178" formatCode="0.000"/>
  </numFmts>
  <fonts count="27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0"/>
      <color rgb="FFFFFFFF"/>
      <name val="Carlito"/>
      <charset val="134"/>
    </font>
    <font>
      <sz val="11"/>
      <color rgb="FF555555"/>
      <name val="Carlito"/>
      <charset val="134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rgb="FF555555"/>
      <name val="Carlito"/>
      <charset val="134"/>
    </font>
    <font>
      <b/>
      <sz val="11"/>
      <color rgb="FF1F1F1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5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0" fillId="0" borderId="0"/>
  </cellStyleXfs>
  <cellXfs count="41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4" borderId="0" xfId="49" applyNumberFormat="1" applyFont="1" applyFill="1" applyBorder="1" applyAlignment="1">
      <alignment vertical="center"/>
    </xf>
    <xf numFmtId="0" fontId="0" fillId="5" borderId="0" xfId="49" applyNumberFormat="1" applyFont="1" applyFill="1" applyBorder="1" applyAlignment="1">
      <alignment vertical="center"/>
    </xf>
    <xf numFmtId="176" fontId="0" fillId="5" borderId="0" xfId="49" applyNumberFormat="1" applyFont="1" applyFill="1" applyBorder="1" applyAlignment="1">
      <alignment vertical="center"/>
    </xf>
    <xf numFmtId="177" fontId="0" fillId="5" borderId="0" xfId="49" applyNumberFormat="1" applyFont="1" applyFill="1" applyBorder="1" applyAlignment="1">
      <alignment vertical="center"/>
    </xf>
    <xf numFmtId="178" fontId="0" fillId="5" borderId="0" xfId="49" applyNumberFormat="1" applyFont="1" applyFill="1" applyBorder="1" applyAlignment="1">
      <alignment vertical="center"/>
    </xf>
    <xf numFmtId="0" fontId="3" fillId="6" borderId="0" xfId="49" applyNumberFormat="1" applyFont="1" applyFill="1" applyBorder="1" applyAlignment="1">
      <alignment vertical="top" wrapText="1"/>
    </xf>
    <xf numFmtId="0" fontId="4" fillId="0" borderId="0" xfId="0" applyFont="1" applyFill="1" applyAlignment="1"/>
    <xf numFmtId="0" fontId="5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1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6" fillId="6" borderId="0" xfId="49" applyNumberFormat="1" applyFont="1" applyFill="1" applyBorder="1" applyAlignment="1">
      <alignment vertical="top" wrapText="1"/>
    </xf>
    <xf numFmtId="0" fontId="7" fillId="7" borderId="0" xfId="49" applyNumberFormat="1" applyFont="1" applyFill="1" applyBorder="1" applyAlignment="1">
      <alignment vertical="center"/>
    </xf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vertical="top" wrapText="1"/>
    </xf>
    <xf numFmtId="2" fontId="0" fillId="0" borderId="0" xfId="49" applyNumberFormat="1" applyFont="1" applyFill="1" applyBorder="1" applyAlignment="1">
      <alignment vertical="top" wrapText="1"/>
    </xf>
    <xf numFmtId="0" fontId="0" fillId="4" borderId="0" xfId="49" applyNumberFormat="1" applyFont="1" applyFill="1" applyBorder="1" applyAlignment="1">
      <alignment vertical="top" wrapText="1"/>
    </xf>
    <xf numFmtId="0" fontId="0" fillId="5" borderId="0" xfId="49" applyNumberFormat="1" applyFont="1" applyFill="1" applyBorder="1" applyAlignment="1">
      <alignment vertical="center" wrapText="1"/>
    </xf>
    <xf numFmtId="0" fontId="0" fillId="4" borderId="0" xfId="49" applyNumberFormat="1" applyFont="1" applyFill="1" applyBorder="1" applyAlignment="1">
      <alignment vertical="center" wrapText="1"/>
    </xf>
    <xf numFmtId="49" fontId="0" fillId="4" borderId="0" xfId="49" applyNumberFormat="1" applyFont="1" applyFill="1" applyBorder="1" applyAlignment="1">
      <alignment vertical="center" wrapText="1"/>
    </xf>
    <xf numFmtId="176" fontId="0" fillId="5" borderId="0" xfId="49" applyNumberFormat="1" applyFont="1" applyFill="1" applyBorder="1" applyAlignment="1">
      <alignment vertical="center" wrapText="1"/>
    </xf>
    <xf numFmtId="176" fontId="0" fillId="4" borderId="0" xfId="49" applyNumberFormat="1" applyFont="1" applyFill="1" applyBorder="1" applyAlignment="1">
      <alignment vertical="center" wrapText="1"/>
    </xf>
    <xf numFmtId="178" fontId="0" fillId="4" borderId="0" xfId="49" applyNumberFormat="1" applyFont="1" applyFill="1" applyBorder="1" applyAlignment="1">
      <alignment vertical="center" wrapText="1"/>
    </xf>
    <xf numFmtId="0" fontId="0" fillId="10" borderId="0" xfId="49" applyNumberFormat="1" applyFont="1" applyFill="1" applyBorder="1" applyAlignment="1">
      <alignment wrapText="1"/>
    </xf>
    <xf numFmtId="0" fontId="0" fillId="11" borderId="0" xfId="49" applyNumberFormat="1" applyFont="1" applyFill="1" applyBorder="1" applyAlignment="1">
      <alignment wrapText="1"/>
    </xf>
    <xf numFmtId="0" fontId="0" fillId="12" borderId="0" xfId="49" applyNumberFormat="1" applyFont="1" applyFill="1" applyBorder="1" applyAlignment="1">
      <alignment wrapText="1"/>
    </xf>
    <xf numFmtId="0" fontId="0" fillId="13" borderId="0" xfId="49" applyNumberFormat="1" applyFont="1" applyFill="1" applyBorder="1" applyAlignment="1">
      <alignment wrapText="1"/>
    </xf>
    <xf numFmtId="0" fontId="0" fillId="14" borderId="0" xfId="49" applyNumberFormat="1" applyFont="1" applyFill="1" applyBorder="1" applyAlignment="1">
      <alignment wrapText="1"/>
    </xf>
    <xf numFmtId="0" fontId="7" fillId="7" borderId="0" xfId="49" applyNumberFormat="1" applyFont="1" applyFill="1" applyBorder="1" applyAlignment="1">
      <alignment horizontal="left" vertical="center"/>
    </xf>
    <xf numFmtId="0" fontId="7" fillId="7" borderId="0" xfId="49" applyNumberFormat="1" applyFont="1" applyFill="1" applyBorder="1" applyAlignment="1">
      <alignment horizontal="center" vertical="center" wrapText="1"/>
    </xf>
    <xf numFmtId="0" fontId="0" fillId="4" borderId="0" xfId="0" applyNumberFormat="1" applyFont="1" applyFill="1" applyBorder="1" applyAlignment="1">
      <alignment vertical="center" wrapText="1"/>
    </xf>
    <xf numFmtId="0" fontId="1" fillId="2" borderId="0" xfId="49" applyNumberFormat="1" applyFont="1" applyFill="1" applyBorder="1" applyAlignment="1">
      <alignment horizontal="left" vertical="center" wrapText="1"/>
    </xf>
    <xf numFmtId="0" fontId="7" fillId="7" borderId="0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ont>
        <b val="1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ManualReviewTable" displayName="ManualReviewTable" ref="A12:Q32" totalsRowShown="0">
  <tableColumns count="17">
    <tableColumn id="1" name="优先级"/>
    <tableColumn id="2" name="记录编号"/>
    <tableColumn id="3" name="用例"/>
    <tableColumn id="4" name="样本"/>
    <tableColumn id="5" name="模型"/>
    <tableColumn id="6" name="版本"/>
    <tableColumn id="7" name="轮次"/>
    <tableColumn id="8" name="ChatGPT总分"/>
    <tableColumn id="9" name="Claude总分"/>
    <tableColumn id="10" name="总分差"/>
    <tableColumn id="11" name="ChatGPT判定"/>
    <tableColumn id="12" name="Claude判定"/>
    <tableColumn id="13" name="主要分歧细项（ChatGPT vs Claude）"/>
    <tableColumn id="14" name="其他次要分歧（Δ=1）"/>
    <tableColumn id="15" name="人工复核重点"/>
    <tableColumn id="16" name="人工结论"/>
    <tableColumn id="17" name="人工最终分项/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1" sqref="A1:F1"/>
    </sheetView>
  </sheetViews>
  <sheetFormatPr defaultColWidth="9" defaultRowHeight="16.8" outlineLevelCol="5"/>
  <cols>
    <col min="1" max="1" width="18" customWidth="1"/>
    <col min="2" max="2" width="80" customWidth="1"/>
    <col min="3" max="6" width="16" customWidth="1"/>
  </cols>
  <sheetData>
    <row r="1" ht="30" customHeight="1" spans="1:6">
      <c r="A1" s="39" t="s">
        <v>0</v>
      </c>
      <c r="B1" s="39"/>
      <c r="C1" s="39"/>
      <c r="D1" s="39"/>
      <c r="E1" s="39"/>
      <c r="F1" s="39"/>
    </row>
    <row r="2" spans="1:6">
      <c r="A2" s="21"/>
      <c r="B2" s="21"/>
      <c r="C2" s="21"/>
      <c r="D2" s="21"/>
      <c r="E2" s="21"/>
      <c r="F2" s="21"/>
    </row>
    <row r="3" spans="1:6">
      <c r="A3" s="40" t="s">
        <v>1</v>
      </c>
      <c r="B3" s="40"/>
      <c r="C3" s="40"/>
      <c r="D3" s="40"/>
      <c r="E3" s="40"/>
      <c r="F3" s="40"/>
    </row>
    <row r="4" ht="34" spans="1:6">
      <c r="A4" s="37" t="s">
        <v>2</v>
      </c>
      <c r="B4" s="8" t="s">
        <v>3</v>
      </c>
      <c r="C4" s="21"/>
      <c r="D4" s="21"/>
      <c r="E4" s="21"/>
      <c r="F4" s="21"/>
    </row>
    <row r="5" ht="17" spans="1:6">
      <c r="A5" s="37" t="s">
        <v>4</v>
      </c>
      <c r="B5" s="8" t="s">
        <v>5</v>
      </c>
      <c r="C5" s="21"/>
      <c r="D5" s="21"/>
      <c r="E5" s="21"/>
      <c r="F5" s="21"/>
    </row>
    <row r="6" ht="17" spans="1:6">
      <c r="A6" s="37" t="s">
        <v>6</v>
      </c>
      <c r="B6" s="8" t="s">
        <v>7</v>
      </c>
      <c r="C6" s="21"/>
      <c r="D6" s="21"/>
      <c r="E6" s="21"/>
      <c r="F6" s="21"/>
    </row>
    <row r="7" ht="34" spans="1:6">
      <c r="A7" s="37" t="s">
        <v>8</v>
      </c>
      <c r="B7" s="8" t="s">
        <v>9</v>
      </c>
      <c r="C7" s="21"/>
      <c r="D7" s="21"/>
      <c r="E7" s="21"/>
      <c r="F7" s="21"/>
    </row>
    <row r="8" ht="34" spans="1:6">
      <c r="A8" s="37" t="s">
        <v>10</v>
      </c>
      <c r="B8" s="8" t="s">
        <v>11</v>
      </c>
      <c r="C8" s="21"/>
      <c r="D8" s="21"/>
      <c r="E8" s="21"/>
      <c r="F8" s="21"/>
    </row>
    <row r="9" ht="17" spans="1:6">
      <c r="A9" s="37" t="s">
        <v>12</v>
      </c>
      <c r="B9" s="8" t="s">
        <v>13</v>
      </c>
      <c r="C9" s="21"/>
      <c r="D9" s="21"/>
      <c r="E9" s="21"/>
      <c r="F9" s="21"/>
    </row>
    <row r="10" ht="17" spans="1:6">
      <c r="A10" s="37" t="s">
        <v>14</v>
      </c>
      <c r="B10" s="8" t="s">
        <v>15</v>
      </c>
      <c r="C10" s="21"/>
      <c r="D10" s="21"/>
      <c r="E10" s="21"/>
      <c r="F10" s="21"/>
    </row>
    <row r="11" spans="1:6">
      <c r="A11" s="21"/>
      <c r="B11" s="21"/>
      <c r="C11" s="21"/>
      <c r="D11" s="21"/>
      <c r="E11" s="21"/>
      <c r="F11" s="21"/>
    </row>
    <row r="12" spans="1:6">
      <c r="A12" s="40" t="s">
        <v>16</v>
      </c>
      <c r="B12" s="40"/>
      <c r="C12" s="40"/>
      <c r="D12" s="40"/>
      <c r="E12" s="40"/>
      <c r="F12" s="40"/>
    </row>
    <row r="13" ht="51" spans="1:6">
      <c r="A13" s="37" t="s">
        <v>17</v>
      </c>
      <c r="B13" s="37" t="s">
        <v>18</v>
      </c>
      <c r="C13" s="8" t="s">
        <v>19</v>
      </c>
      <c r="D13" s="21"/>
      <c r="E13" s="21"/>
      <c r="F13" s="21"/>
    </row>
    <row r="14" ht="84" spans="1:6">
      <c r="A14" s="37" t="s">
        <v>20</v>
      </c>
      <c r="B14" s="37" t="s">
        <v>21</v>
      </c>
      <c r="C14" s="8" t="s">
        <v>22</v>
      </c>
      <c r="D14" s="21"/>
      <c r="E14" s="21"/>
      <c r="F14" s="21"/>
    </row>
    <row r="15" ht="51" spans="1:6">
      <c r="A15" s="37" t="s">
        <v>23</v>
      </c>
      <c r="B15" s="37" t="s">
        <v>24</v>
      </c>
      <c r="C15" s="8" t="s">
        <v>25</v>
      </c>
      <c r="D15" s="21"/>
      <c r="E15" s="21"/>
      <c r="F15" s="21"/>
    </row>
    <row r="16" ht="68" spans="1:6">
      <c r="A16" s="37" t="s">
        <v>26</v>
      </c>
      <c r="B16" s="37" t="s">
        <v>27</v>
      </c>
      <c r="C16" s="8" t="s">
        <v>28</v>
      </c>
      <c r="D16" s="21"/>
      <c r="E16" s="21"/>
      <c r="F16" s="21"/>
    </row>
    <row r="17" ht="84" spans="1:6">
      <c r="A17" s="37" t="s">
        <v>29</v>
      </c>
      <c r="B17" s="37" t="s">
        <v>30</v>
      </c>
      <c r="C17" s="8" t="s">
        <v>31</v>
      </c>
      <c r="D17" s="21"/>
      <c r="E17" s="21"/>
      <c r="F17" s="21"/>
    </row>
    <row r="18" spans="1:6">
      <c r="A18" s="21"/>
      <c r="B18" s="21"/>
      <c r="C18" s="21"/>
      <c r="D18" s="21"/>
      <c r="E18" s="21"/>
      <c r="F18" s="21"/>
    </row>
    <row r="19" spans="1:6">
      <c r="A19" s="40" t="s">
        <v>32</v>
      </c>
      <c r="B19" s="40"/>
      <c r="C19" s="40"/>
      <c r="D19" s="40"/>
      <c r="E19" s="40"/>
      <c r="F19" s="40"/>
    </row>
    <row r="20" ht="17" spans="1:6">
      <c r="A20" s="37" t="s">
        <v>33</v>
      </c>
      <c r="B20" s="8" t="s">
        <v>34</v>
      </c>
      <c r="C20" s="21"/>
      <c r="D20" s="21"/>
      <c r="E20" s="21"/>
      <c r="F20" s="21"/>
    </row>
    <row r="21" ht="17" spans="1:6">
      <c r="A21" s="37" t="s">
        <v>35</v>
      </c>
      <c r="B21" s="8" t="s">
        <v>36</v>
      </c>
      <c r="C21" s="21"/>
      <c r="D21" s="21"/>
      <c r="E21" s="21"/>
      <c r="F21" s="21"/>
    </row>
    <row r="22" ht="17" spans="1:6">
      <c r="A22" s="37" t="s">
        <v>37</v>
      </c>
      <c r="B22" s="8" t="s">
        <v>38</v>
      </c>
      <c r="C22" s="21"/>
      <c r="D22" s="21"/>
      <c r="E22" s="21"/>
      <c r="F22" s="21"/>
    </row>
    <row r="23" spans="1:6">
      <c r="A23" s="21"/>
      <c r="B23" s="21"/>
      <c r="C23" s="21"/>
      <c r="D23" s="21"/>
      <c r="E23" s="21"/>
      <c r="F23" s="21"/>
    </row>
    <row r="24" spans="1:6">
      <c r="A24" s="21"/>
      <c r="B24" s="21"/>
      <c r="C24" s="21"/>
      <c r="D24" s="21"/>
      <c r="E24" s="21"/>
      <c r="F24" s="21"/>
    </row>
  </sheetData>
  <mergeCells count="4">
    <mergeCell ref="A1:F1"/>
    <mergeCell ref="A3:F3"/>
    <mergeCell ref="A12:F12"/>
    <mergeCell ref="A19:F1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A6" workbookViewId="0">
      <selection activeCell="C9" sqref="C9"/>
    </sheetView>
  </sheetViews>
  <sheetFormatPr defaultColWidth="9" defaultRowHeight="16.8" outlineLevelCol="7"/>
  <cols>
    <col min="1" max="2" width="12" customWidth="1"/>
    <col min="3" max="3" width="26" customWidth="1"/>
    <col min="4" max="7" width="36" customWidth="1"/>
    <col min="8" max="8" width="30" customWidth="1"/>
  </cols>
  <sheetData>
    <row r="1" ht="32" customHeight="1" spans="1:8">
      <c r="A1" s="2" t="s">
        <v>39</v>
      </c>
      <c r="B1" s="2" t="s">
        <v>40</v>
      </c>
      <c r="C1" s="2" t="s">
        <v>6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</row>
    <row r="2" ht="92" customHeight="1" spans="1:8">
      <c r="A2" s="25" t="s">
        <v>46</v>
      </c>
      <c r="B2" s="26" t="s">
        <v>47</v>
      </c>
      <c r="C2" s="26"/>
      <c r="D2" s="38" t="s">
        <v>48</v>
      </c>
      <c r="E2" s="38" t="s">
        <v>49</v>
      </c>
      <c r="F2" s="38" t="s">
        <v>50</v>
      </c>
      <c r="G2" s="38" t="s">
        <v>51</v>
      </c>
      <c r="H2" s="38" t="s">
        <v>52</v>
      </c>
    </row>
    <row r="3" ht="92" customHeight="1" spans="1:8">
      <c r="A3" s="25" t="s">
        <v>53</v>
      </c>
      <c r="B3" s="26" t="s">
        <v>54</v>
      </c>
      <c r="C3" s="26"/>
      <c r="D3" s="38" t="s">
        <v>55</v>
      </c>
      <c r="E3" s="38" t="s">
        <v>56</v>
      </c>
      <c r="F3" s="38" t="s">
        <v>57</v>
      </c>
      <c r="G3" s="38" t="s">
        <v>58</v>
      </c>
      <c r="H3" s="38" t="s">
        <v>59</v>
      </c>
    </row>
    <row r="4" ht="92" customHeight="1" spans="1:8">
      <c r="A4" s="25" t="s">
        <v>60</v>
      </c>
      <c r="B4" s="26" t="s">
        <v>61</v>
      </c>
      <c r="C4" s="26"/>
      <c r="D4" s="38" t="s">
        <v>62</v>
      </c>
      <c r="E4" s="38" t="s">
        <v>63</v>
      </c>
      <c r="F4" s="38" t="s">
        <v>64</v>
      </c>
      <c r="G4" s="38" t="s">
        <v>65</v>
      </c>
      <c r="H4" s="38" t="s">
        <v>66</v>
      </c>
    </row>
    <row r="5" ht="92" customHeight="1" spans="1:8">
      <c r="A5" s="25" t="s">
        <v>67</v>
      </c>
      <c r="B5" s="26" t="s">
        <v>68</v>
      </c>
      <c r="C5" s="26"/>
      <c r="D5" s="38" t="s">
        <v>69</v>
      </c>
      <c r="E5" s="38" t="s">
        <v>70</v>
      </c>
      <c r="F5" s="38" t="s">
        <v>71</v>
      </c>
      <c r="G5" s="38" t="s">
        <v>72</v>
      </c>
      <c r="H5" s="38" t="s">
        <v>73</v>
      </c>
    </row>
    <row r="6" ht="92" customHeight="1" spans="1:8">
      <c r="A6" s="25" t="s">
        <v>74</v>
      </c>
      <c r="B6" s="26" t="s">
        <v>75</v>
      </c>
      <c r="C6" s="26"/>
      <c r="D6" s="38" t="s">
        <v>76</v>
      </c>
      <c r="E6" s="38" t="s">
        <v>77</v>
      </c>
      <c r="F6" s="38" t="s">
        <v>78</v>
      </c>
      <c r="G6" s="38" t="s">
        <v>79</v>
      </c>
      <c r="H6" s="38" t="s">
        <v>80</v>
      </c>
    </row>
    <row r="7" ht="92" customHeight="1" spans="1:8">
      <c r="A7" s="25" t="s">
        <v>81</v>
      </c>
      <c r="B7" s="26" t="s">
        <v>82</v>
      </c>
      <c r="C7" s="26"/>
      <c r="D7" s="38" t="s">
        <v>83</v>
      </c>
      <c r="E7" s="38" t="s">
        <v>84</v>
      </c>
      <c r="F7" s="38" t="s">
        <v>85</v>
      </c>
      <c r="G7" s="38" t="s">
        <v>86</v>
      </c>
      <c r="H7" s="38" t="s">
        <v>87</v>
      </c>
    </row>
    <row r="8" ht="92" customHeight="1" spans="1:8">
      <c r="A8" s="25" t="s">
        <v>88</v>
      </c>
      <c r="B8" s="26" t="s">
        <v>89</v>
      </c>
      <c r="C8" s="26"/>
      <c r="D8" s="38" t="s">
        <v>90</v>
      </c>
      <c r="E8" s="38" t="s">
        <v>91</v>
      </c>
      <c r="F8" s="38" t="s">
        <v>92</v>
      </c>
      <c r="G8" s="38" t="s">
        <v>93</v>
      </c>
      <c r="H8" s="38" t="s">
        <v>94</v>
      </c>
    </row>
    <row r="9" ht="92" customHeight="1" spans="1:8">
      <c r="A9" s="25" t="s">
        <v>95</v>
      </c>
      <c r="B9" s="26" t="s">
        <v>96</v>
      </c>
      <c r="C9" s="26"/>
      <c r="D9" s="38" t="s">
        <v>97</v>
      </c>
      <c r="E9" s="38" t="s">
        <v>98</v>
      </c>
      <c r="F9" s="38" t="s">
        <v>99</v>
      </c>
      <c r="G9" s="38" t="s">
        <v>100</v>
      </c>
      <c r="H9" s="38" t="s">
        <v>101</v>
      </c>
    </row>
    <row r="10" ht="92" customHeight="1" spans="1:8">
      <c r="A10" s="25" t="s">
        <v>102</v>
      </c>
      <c r="B10" s="26" t="s">
        <v>103</v>
      </c>
      <c r="C10" s="26"/>
      <c r="D10" s="38" t="s">
        <v>104</v>
      </c>
      <c r="E10" s="38" t="s">
        <v>105</v>
      </c>
      <c r="F10" s="38" t="s">
        <v>106</v>
      </c>
      <c r="G10" s="38" t="s">
        <v>107</v>
      </c>
      <c r="H10" s="38" t="s">
        <v>108</v>
      </c>
    </row>
    <row r="11" ht="92" customHeight="1" spans="1:8">
      <c r="A11" s="25" t="s">
        <v>109</v>
      </c>
      <c r="B11" s="26" t="s">
        <v>110</v>
      </c>
      <c r="C11" s="26"/>
      <c r="D11" s="38" t="s">
        <v>111</v>
      </c>
      <c r="E11" s="38" t="s">
        <v>112</v>
      </c>
      <c r="F11" s="38" t="s">
        <v>113</v>
      </c>
      <c r="G11" s="38" t="s">
        <v>114</v>
      </c>
      <c r="H11" s="38" t="s">
        <v>115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opLeftCell="A6" workbookViewId="0">
      <selection activeCell="C11" sqref="C11"/>
    </sheetView>
  </sheetViews>
  <sheetFormatPr defaultColWidth="9" defaultRowHeight="16.8"/>
  <cols>
    <col min="1" max="2" width="12" customWidth="1"/>
    <col min="3" max="3" width="46" customWidth="1"/>
    <col min="4" max="9" width="24" customWidth="1"/>
    <col min="10" max="10" width="12" customWidth="1"/>
    <col min="11" max="11" width="28" customWidth="1"/>
  </cols>
  <sheetData>
    <row r="1" ht="34" customHeight="1" spans="1:11">
      <c r="A1" s="2" t="s">
        <v>116</v>
      </c>
      <c r="B1" s="2" t="s">
        <v>39</v>
      </c>
      <c r="C1" s="2" t="s">
        <v>117</v>
      </c>
      <c r="D1" s="2" t="s">
        <v>118</v>
      </c>
      <c r="E1" s="2" t="s">
        <v>119</v>
      </c>
      <c r="F1" s="2" t="s">
        <v>120</v>
      </c>
      <c r="G1" s="2" t="s">
        <v>121</v>
      </c>
      <c r="H1" s="2" t="s">
        <v>122</v>
      </c>
      <c r="I1" s="2" t="s">
        <v>123</v>
      </c>
      <c r="J1" s="2" t="s">
        <v>124</v>
      </c>
      <c r="K1" s="2" t="s">
        <v>125</v>
      </c>
    </row>
    <row r="2" ht="86" customHeight="1" spans="1:11">
      <c r="A2" s="25" t="s">
        <v>126</v>
      </c>
      <c r="B2" s="25" t="s">
        <v>46</v>
      </c>
      <c r="C2" s="26" t="s">
        <v>127</v>
      </c>
      <c r="D2" s="38" t="s">
        <v>128</v>
      </c>
      <c r="E2" s="38" t="s">
        <v>129</v>
      </c>
      <c r="F2" s="38" t="s">
        <v>130</v>
      </c>
      <c r="G2" s="38" t="s">
        <v>131</v>
      </c>
      <c r="H2" s="38" t="s">
        <v>132</v>
      </c>
      <c r="I2" s="38" t="s">
        <v>133</v>
      </c>
      <c r="J2" s="38" t="s">
        <v>134</v>
      </c>
      <c r="K2" s="38" t="s">
        <v>135</v>
      </c>
    </row>
    <row r="3" ht="86" customHeight="1" spans="1:11">
      <c r="A3" s="25" t="s">
        <v>136</v>
      </c>
      <c r="B3" s="25" t="s">
        <v>53</v>
      </c>
      <c r="C3" s="26" t="s">
        <v>137</v>
      </c>
      <c r="D3" s="38" t="s">
        <v>138</v>
      </c>
      <c r="E3" s="38" t="s">
        <v>139</v>
      </c>
      <c r="F3" s="38" t="s">
        <v>140</v>
      </c>
      <c r="G3" s="38" t="s">
        <v>141</v>
      </c>
      <c r="H3" s="38" t="s">
        <v>142</v>
      </c>
      <c r="I3" s="38" t="s">
        <v>143</v>
      </c>
      <c r="J3" s="38" t="s">
        <v>144</v>
      </c>
      <c r="K3" s="38" t="s">
        <v>145</v>
      </c>
    </row>
    <row r="4" ht="86" customHeight="1" spans="1:11">
      <c r="A4" s="25" t="s">
        <v>146</v>
      </c>
      <c r="B4" s="25" t="s">
        <v>60</v>
      </c>
      <c r="C4" s="26" t="s">
        <v>147</v>
      </c>
      <c r="D4" s="38" t="s">
        <v>148</v>
      </c>
      <c r="E4" s="38" t="s">
        <v>149</v>
      </c>
      <c r="F4" s="38" t="s">
        <v>150</v>
      </c>
      <c r="G4" s="38" t="s">
        <v>151</v>
      </c>
      <c r="H4" s="38" t="s">
        <v>152</v>
      </c>
      <c r="I4" s="38" t="s">
        <v>153</v>
      </c>
      <c r="J4" s="38" t="s">
        <v>144</v>
      </c>
      <c r="K4" s="38" t="s">
        <v>154</v>
      </c>
    </row>
    <row r="5" ht="86" customHeight="1" spans="1:11">
      <c r="A5" s="25" t="s">
        <v>155</v>
      </c>
      <c r="B5" s="25" t="s">
        <v>67</v>
      </c>
      <c r="C5" s="26" t="s">
        <v>156</v>
      </c>
      <c r="D5" s="38" t="s">
        <v>157</v>
      </c>
      <c r="E5" s="38" t="s">
        <v>158</v>
      </c>
      <c r="F5" s="38" t="s">
        <v>159</v>
      </c>
      <c r="G5" s="38" t="s">
        <v>160</v>
      </c>
      <c r="H5" s="38" t="s">
        <v>161</v>
      </c>
      <c r="I5" s="38" t="s">
        <v>162</v>
      </c>
      <c r="J5" s="38" t="s">
        <v>144</v>
      </c>
      <c r="K5" s="38" t="s">
        <v>163</v>
      </c>
    </row>
    <row r="6" ht="86" customHeight="1" spans="1:11">
      <c r="A6" s="25" t="s">
        <v>164</v>
      </c>
      <c r="B6" s="25" t="s">
        <v>74</v>
      </c>
      <c r="C6" s="26" t="s">
        <v>165</v>
      </c>
      <c r="D6" s="38" t="s">
        <v>166</v>
      </c>
      <c r="E6" s="38" t="s">
        <v>167</v>
      </c>
      <c r="F6" s="38" t="s">
        <v>168</v>
      </c>
      <c r="G6" s="38" t="s">
        <v>169</v>
      </c>
      <c r="H6" s="38" t="s">
        <v>170</v>
      </c>
      <c r="I6" s="38" t="s">
        <v>171</v>
      </c>
      <c r="J6" s="38" t="s">
        <v>172</v>
      </c>
      <c r="K6" s="38" t="s">
        <v>173</v>
      </c>
    </row>
    <row r="7" ht="86" customHeight="1" spans="1:11">
      <c r="A7" s="25" t="s">
        <v>174</v>
      </c>
      <c r="B7" s="25" t="s">
        <v>81</v>
      </c>
      <c r="C7" s="26" t="s">
        <v>175</v>
      </c>
      <c r="D7" s="38" t="s">
        <v>176</v>
      </c>
      <c r="E7" s="38" t="s">
        <v>177</v>
      </c>
      <c r="F7" s="38" t="s">
        <v>178</v>
      </c>
      <c r="G7" s="38" t="s">
        <v>179</v>
      </c>
      <c r="H7" s="38" t="s">
        <v>180</v>
      </c>
      <c r="I7" s="38" t="s">
        <v>181</v>
      </c>
      <c r="J7" s="38" t="s">
        <v>172</v>
      </c>
      <c r="K7" s="38" t="s">
        <v>182</v>
      </c>
    </row>
    <row r="8" ht="86" customHeight="1" spans="1:11">
      <c r="A8" s="25" t="s">
        <v>183</v>
      </c>
      <c r="B8" s="25" t="s">
        <v>88</v>
      </c>
      <c r="C8" s="26" t="s">
        <v>184</v>
      </c>
      <c r="D8" s="38" t="s">
        <v>185</v>
      </c>
      <c r="E8" s="38" t="s">
        <v>186</v>
      </c>
      <c r="F8" s="38" t="s">
        <v>187</v>
      </c>
      <c r="G8" s="38" t="s">
        <v>188</v>
      </c>
      <c r="H8" s="38" t="s">
        <v>189</v>
      </c>
      <c r="I8" s="38" t="s">
        <v>190</v>
      </c>
      <c r="J8" s="38" t="s">
        <v>144</v>
      </c>
      <c r="K8" s="38" t="s">
        <v>191</v>
      </c>
    </row>
    <row r="9" ht="86" customHeight="1" spans="1:11">
      <c r="A9" s="25" t="s">
        <v>192</v>
      </c>
      <c r="B9" s="25" t="s">
        <v>95</v>
      </c>
      <c r="C9" s="26" t="s">
        <v>193</v>
      </c>
      <c r="D9" s="38" t="s">
        <v>194</v>
      </c>
      <c r="E9" s="38" t="s">
        <v>195</v>
      </c>
      <c r="F9" s="38" t="s">
        <v>196</v>
      </c>
      <c r="G9" s="38" t="s">
        <v>197</v>
      </c>
      <c r="H9" s="38" t="s">
        <v>198</v>
      </c>
      <c r="I9" s="38" t="s">
        <v>199</v>
      </c>
      <c r="J9" s="38" t="s">
        <v>172</v>
      </c>
      <c r="K9" s="38" t="s">
        <v>200</v>
      </c>
    </row>
    <row r="10" ht="86" customHeight="1" spans="1:11">
      <c r="A10" s="25" t="s">
        <v>201</v>
      </c>
      <c r="B10" s="25" t="s">
        <v>102</v>
      </c>
      <c r="C10" s="26" t="s">
        <v>202</v>
      </c>
      <c r="D10" s="38" t="s">
        <v>203</v>
      </c>
      <c r="E10" s="38" t="s">
        <v>204</v>
      </c>
      <c r="F10" s="38" t="s">
        <v>205</v>
      </c>
      <c r="G10" s="38" t="s">
        <v>206</v>
      </c>
      <c r="H10" s="38" t="s">
        <v>207</v>
      </c>
      <c r="I10" s="38" t="s">
        <v>208</v>
      </c>
      <c r="J10" s="38" t="s">
        <v>172</v>
      </c>
      <c r="K10" s="38" t="s">
        <v>209</v>
      </c>
    </row>
    <row r="11" ht="86" customHeight="1" spans="1:11">
      <c r="A11" s="25" t="s">
        <v>210</v>
      </c>
      <c r="B11" s="25" t="s">
        <v>109</v>
      </c>
      <c r="C11" s="26" t="s">
        <v>211</v>
      </c>
      <c r="D11" s="38" t="s">
        <v>212</v>
      </c>
      <c r="E11" s="38" t="s">
        <v>213</v>
      </c>
      <c r="F11" s="38" t="s">
        <v>214</v>
      </c>
      <c r="G11" s="38" t="s">
        <v>215</v>
      </c>
      <c r="H11" s="38" t="s">
        <v>216</v>
      </c>
      <c r="I11" s="38" t="s">
        <v>217</v>
      </c>
      <c r="J11" s="38" t="s">
        <v>172</v>
      </c>
      <c r="K11" s="38" t="s">
        <v>218</v>
      </c>
    </row>
  </sheetData>
  <dataValidations count="1">
    <dataValidation type="list" sqref="J2:J11">
      <formula1>"简单,中等,复杂"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5" workbookViewId="0">
      <selection activeCell="E12" sqref="E12"/>
    </sheetView>
  </sheetViews>
  <sheetFormatPr defaultColWidth="9" defaultRowHeight="16.8"/>
  <cols>
    <col min="1" max="1" width="22" customWidth="1"/>
    <col min="2" max="2" width="24" customWidth="1"/>
    <col min="3" max="3" width="9" customWidth="1"/>
    <col min="4" max="4" width="10" customWidth="1"/>
    <col min="5" max="5" width="28" customWidth="1"/>
    <col min="6" max="6" width="30" customWidth="1"/>
    <col min="7" max="10" width="32" customWidth="1"/>
    <col min="11" max="11" width="38" customWidth="1"/>
    <col min="12" max="12" width="42" customWidth="1"/>
  </cols>
  <sheetData>
    <row r="1" ht="36" customHeight="1" spans="1:12">
      <c r="A1" s="2" t="s">
        <v>219</v>
      </c>
      <c r="B1" s="2" t="s">
        <v>220</v>
      </c>
      <c r="C1" s="2" t="s">
        <v>221</v>
      </c>
      <c r="D1" s="2" t="s">
        <v>222</v>
      </c>
      <c r="E1" s="2" t="s">
        <v>223</v>
      </c>
      <c r="F1" s="2" t="s">
        <v>224</v>
      </c>
      <c r="G1" s="2" t="s">
        <v>225</v>
      </c>
      <c r="H1" s="2" t="s">
        <v>226</v>
      </c>
      <c r="I1" s="2" t="s">
        <v>227</v>
      </c>
      <c r="J1" s="2" t="s">
        <v>228</v>
      </c>
      <c r="K1" s="2" t="s">
        <v>229</v>
      </c>
      <c r="L1" s="2" t="s">
        <v>230</v>
      </c>
    </row>
    <row r="2" ht="62" customHeight="1" spans="1:12">
      <c r="A2" s="31" t="s">
        <v>231</v>
      </c>
      <c r="B2" s="31" t="s">
        <v>42</v>
      </c>
      <c r="C2" s="21">
        <v>4</v>
      </c>
      <c r="D2" s="21">
        <v>5</v>
      </c>
      <c r="E2" s="21" t="s">
        <v>232</v>
      </c>
      <c r="F2" s="21" t="s">
        <v>233</v>
      </c>
      <c r="G2" s="21" t="s">
        <v>234</v>
      </c>
      <c r="H2" s="21" t="s">
        <v>235</v>
      </c>
      <c r="I2" s="21" t="s">
        <v>236</v>
      </c>
      <c r="J2" s="21" t="s">
        <v>237</v>
      </c>
      <c r="K2" s="21" t="s">
        <v>238</v>
      </c>
      <c r="L2" s="21" t="s">
        <v>239</v>
      </c>
    </row>
    <row r="3" ht="62" customHeight="1" spans="1:12">
      <c r="A3" s="31" t="s">
        <v>231</v>
      </c>
      <c r="B3" s="31" t="s">
        <v>43</v>
      </c>
      <c r="C3" s="21">
        <v>4</v>
      </c>
      <c r="D3" s="21">
        <v>5</v>
      </c>
      <c r="E3" s="21" t="s">
        <v>232</v>
      </c>
      <c r="F3" s="21" t="s">
        <v>233</v>
      </c>
      <c r="G3" s="21" t="s">
        <v>234</v>
      </c>
      <c r="H3" s="21" t="s">
        <v>235</v>
      </c>
      <c r="I3" s="21" t="s">
        <v>236</v>
      </c>
      <c r="J3" s="21" t="s">
        <v>237</v>
      </c>
      <c r="K3" s="21" t="s">
        <v>238</v>
      </c>
      <c r="L3" s="21" t="s">
        <v>240</v>
      </c>
    </row>
    <row r="4" ht="62" customHeight="1" spans="1:12">
      <c r="A4" s="31" t="s">
        <v>231</v>
      </c>
      <c r="B4" s="31" t="s">
        <v>44</v>
      </c>
      <c r="C4" s="21">
        <v>4</v>
      </c>
      <c r="D4" s="21">
        <v>5</v>
      </c>
      <c r="E4" s="21" t="s">
        <v>232</v>
      </c>
      <c r="F4" s="21" t="s">
        <v>233</v>
      </c>
      <c r="G4" s="21" t="s">
        <v>234</v>
      </c>
      <c r="H4" s="21" t="s">
        <v>235</v>
      </c>
      <c r="I4" s="21" t="s">
        <v>236</v>
      </c>
      <c r="J4" s="21" t="s">
        <v>237</v>
      </c>
      <c r="K4" s="21" t="s">
        <v>238</v>
      </c>
      <c r="L4" s="21" t="s">
        <v>240</v>
      </c>
    </row>
    <row r="5" ht="62" customHeight="1" spans="1:12">
      <c r="A5" s="31" t="s">
        <v>231</v>
      </c>
      <c r="B5" s="31" t="s">
        <v>241</v>
      </c>
      <c r="C5" s="21">
        <v>8</v>
      </c>
      <c r="D5" s="21">
        <v>4</v>
      </c>
      <c r="E5" s="21" t="s">
        <v>242</v>
      </c>
      <c r="F5" s="21" t="s">
        <v>243</v>
      </c>
      <c r="G5" s="21" t="s">
        <v>244</v>
      </c>
      <c r="H5" s="21" t="s">
        <v>245</v>
      </c>
      <c r="I5" s="21" t="s">
        <v>246</v>
      </c>
      <c r="J5" s="21" t="s">
        <v>247</v>
      </c>
      <c r="K5" s="21" t="s">
        <v>248</v>
      </c>
      <c r="L5" s="21" t="s">
        <v>249</v>
      </c>
    </row>
    <row r="6" ht="62" customHeight="1" spans="1:12">
      <c r="A6" s="31" t="s">
        <v>231</v>
      </c>
      <c r="B6" s="31" t="s">
        <v>250</v>
      </c>
      <c r="C6" s="21">
        <v>5</v>
      </c>
      <c r="D6" s="21">
        <v>4</v>
      </c>
      <c r="E6" s="21" t="s">
        <v>251</v>
      </c>
      <c r="F6" s="21" t="s">
        <v>252</v>
      </c>
      <c r="G6" s="21" t="s">
        <v>253</v>
      </c>
      <c r="H6" s="21" t="s">
        <v>254</v>
      </c>
      <c r="I6" s="21" t="s">
        <v>255</v>
      </c>
      <c r="J6" s="21" t="s">
        <v>247</v>
      </c>
      <c r="K6" s="21" t="s">
        <v>256</v>
      </c>
      <c r="L6" s="21" t="s">
        <v>257</v>
      </c>
    </row>
    <row r="7" ht="62" customHeight="1" spans="1:12">
      <c r="A7" s="31" t="s">
        <v>231</v>
      </c>
      <c r="B7" s="31" t="s">
        <v>258</v>
      </c>
      <c r="C7" s="21">
        <v>6</v>
      </c>
      <c r="D7" s="21">
        <v>4</v>
      </c>
      <c r="E7" s="21" t="s">
        <v>259</v>
      </c>
      <c r="F7" s="21" t="s">
        <v>260</v>
      </c>
      <c r="G7" s="21" t="s">
        <v>261</v>
      </c>
      <c r="H7" s="21" t="s">
        <v>262</v>
      </c>
      <c r="I7" s="21" t="s">
        <v>263</v>
      </c>
      <c r="J7" s="21" t="s">
        <v>247</v>
      </c>
      <c r="K7" s="21" t="s">
        <v>264</v>
      </c>
      <c r="L7" s="21" t="s">
        <v>265</v>
      </c>
    </row>
    <row r="8" ht="62" customHeight="1" spans="1:12">
      <c r="A8" s="31" t="s">
        <v>231</v>
      </c>
      <c r="B8" s="31" t="s">
        <v>266</v>
      </c>
      <c r="C8" s="21">
        <v>4</v>
      </c>
      <c r="D8" s="21">
        <v>4</v>
      </c>
      <c r="E8" s="21" t="s">
        <v>267</v>
      </c>
      <c r="F8" s="21" t="s">
        <v>268</v>
      </c>
      <c r="G8" s="21" t="s">
        <v>269</v>
      </c>
      <c r="H8" s="21" t="s">
        <v>270</v>
      </c>
      <c r="I8" s="21" t="s">
        <v>271</v>
      </c>
      <c r="J8" s="21" t="s">
        <v>247</v>
      </c>
      <c r="K8" s="21" t="s">
        <v>272</v>
      </c>
      <c r="L8" s="21" t="s">
        <v>273</v>
      </c>
    </row>
    <row r="9" ht="62" customHeight="1" spans="1:12">
      <c r="A9" s="31" t="s">
        <v>231</v>
      </c>
      <c r="B9" s="31" t="s">
        <v>274</v>
      </c>
      <c r="C9" s="21">
        <v>4</v>
      </c>
      <c r="D9" s="21">
        <v>4</v>
      </c>
      <c r="E9" s="21" t="s">
        <v>275</v>
      </c>
      <c r="F9" s="21" t="s">
        <v>276</v>
      </c>
      <c r="G9" s="21" t="s">
        <v>277</v>
      </c>
      <c r="H9" s="21" t="s">
        <v>278</v>
      </c>
      <c r="I9" s="21" t="s">
        <v>279</v>
      </c>
      <c r="J9" s="21" t="s">
        <v>247</v>
      </c>
      <c r="K9" s="21" t="s">
        <v>280</v>
      </c>
      <c r="L9" s="21" t="s">
        <v>281</v>
      </c>
    </row>
    <row r="10" ht="62" customHeight="1" spans="1:12">
      <c r="A10" s="31" t="s">
        <v>231</v>
      </c>
      <c r="B10" s="31" t="s">
        <v>282</v>
      </c>
      <c r="C10" s="21">
        <v>4</v>
      </c>
      <c r="D10" s="21">
        <v>4</v>
      </c>
      <c r="E10" s="21" t="s">
        <v>283</v>
      </c>
      <c r="F10" s="21" t="s">
        <v>284</v>
      </c>
      <c r="G10" s="21" t="s">
        <v>285</v>
      </c>
      <c r="H10" s="21" t="s">
        <v>286</v>
      </c>
      <c r="I10" s="21" t="s">
        <v>287</v>
      </c>
      <c r="J10" s="21" t="s">
        <v>247</v>
      </c>
      <c r="K10" s="21" t="s">
        <v>288</v>
      </c>
      <c r="L10" s="21" t="s">
        <v>289</v>
      </c>
    </row>
    <row r="11" ht="62" customHeight="1" spans="1:12">
      <c r="A11" s="31" t="s">
        <v>231</v>
      </c>
      <c r="B11" s="31" t="s">
        <v>290</v>
      </c>
      <c r="C11" s="21">
        <v>2</v>
      </c>
      <c r="D11" s="21">
        <v>4</v>
      </c>
      <c r="E11" s="21" t="s">
        <v>291</v>
      </c>
      <c r="F11" s="21" t="s">
        <v>292</v>
      </c>
      <c r="G11" s="21" t="s">
        <v>293</v>
      </c>
      <c r="H11" s="21" t="s">
        <v>294</v>
      </c>
      <c r="I11" s="21" t="s">
        <v>295</v>
      </c>
      <c r="J11" s="21" t="s">
        <v>247</v>
      </c>
      <c r="K11" s="21" t="s">
        <v>296</v>
      </c>
      <c r="L11" s="21" t="s">
        <v>297</v>
      </c>
    </row>
    <row r="12" ht="62" customHeight="1" spans="1:12">
      <c r="A12" s="32" t="s">
        <v>298</v>
      </c>
      <c r="B12" s="32" t="s">
        <v>118</v>
      </c>
      <c r="C12" s="21">
        <v>7</v>
      </c>
      <c r="D12" s="21">
        <v>4</v>
      </c>
      <c r="E12" s="21" t="s">
        <v>299</v>
      </c>
      <c r="F12" s="21" t="s">
        <v>300</v>
      </c>
      <c r="G12" s="21" t="s">
        <v>301</v>
      </c>
      <c r="H12" s="21" t="s">
        <v>302</v>
      </c>
      <c r="I12" s="21" t="s">
        <v>303</v>
      </c>
      <c r="J12" s="21" t="s">
        <v>247</v>
      </c>
      <c r="K12" s="21" t="s">
        <v>304</v>
      </c>
      <c r="L12" s="21" t="s">
        <v>305</v>
      </c>
    </row>
    <row r="13" ht="62" customHeight="1" spans="1:12">
      <c r="A13" s="32" t="s">
        <v>298</v>
      </c>
      <c r="B13" s="32" t="s">
        <v>119</v>
      </c>
      <c r="C13" s="21">
        <v>6</v>
      </c>
      <c r="D13" s="21">
        <v>4</v>
      </c>
      <c r="E13" s="21" t="s">
        <v>306</v>
      </c>
      <c r="F13" s="21" t="s">
        <v>307</v>
      </c>
      <c r="G13" s="21" t="s">
        <v>308</v>
      </c>
      <c r="H13" s="21" t="s">
        <v>309</v>
      </c>
      <c r="I13" s="21" t="s">
        <v>310</v>
      </c>
      <c r="J13" s="21" t="s">
        <v>247</v>
      </c>
      <c r="K13" s="21" t="s">
        <v>311</v>
      </c>
      <c r="L13" s="21" t="s">
        <v>312</v>
      </c>
    </row>
    <row r="14" ht="62" customHeight="1" spans="1:12">
      <c r="A14" s="32" t="s">
        <v>298</v>
      </c>
      <c r="B14" s="32" t="s">
        <v>120</v>
      </c>
      <c r="C14" s="21">
        <v>6</v>
      </c>
      <c r="D14" s="21">
        <v>4</v>
      </c>
      <c r="E14" s="21" t="s">
        <v>313</v>
      </c>
      <c r="F14" s="21" t="s">
        <v>314</v>
      </c>
      <c r="G14" s="21" t="s">
        <v>315</v>
      </c>
      <c r="H14" s="21" t="s">
        <v>316</v>
      </c>
      <c r="I14" s="21" t="s">
        <v>317</v>
      </c>
      <c r="J14" s="21" t="s">
        <v>247</v>
      </c>
      <c r="K14" s="21" t="s">
        <v>318</v>
      </c>
      <c r="L14" s="21" t="s">
        <v>319</v>
      </c>
    </row>
    <row r="15" ht="62" customHeight="1" spans="1:12">
      <c r="A15" s="32" t="s">
        <v>298</v>
      </c>
      <c r="B15" s="32" t="s">
        <v>121</v>
      </c>
      <c r="C15" s="21">
        <v>4</v>
      </c>
      <c r="D15" s="21">
        <v>4</v>
      </c>
      <c r="E15" s="21" t="s">
        <v>320</v>
      </c>
      <c r="F15" s="21" t="s">
        <v>321</v>
      </c>
      <c r="G15" s="21" t="s">
        <v>322</v>
      </c>
      <c r="H15" s="21" t="s">
        <v>323</v>
      </c>
      <c r="I15" s="21" t="s">
        <v>324</v>
      </c>
      <c r="J15" s="21" t="s">
        <v>247</v>
      </c>
      <c r="K15" s="21" t="s">
        <v>325</v>
      </c>
      <c r="L15" s="21" t="s">
        <v>326</v>
      </c>
    </row>
    <row r="16" ht="62" customHeight="1" spans="1:12">
      <c r="A16" s="32" t="s">
        <v>298</v>
      </c>
      <c r="B16" s="32" t="s">
        <v>122</v>
      </c>
      <c r="C16" s="21">
        <v>4</v>
      </c>
      <c r="D16" s="21">
        <v>4</v>
      </c>
      <c r="E16" s="21" t="s">
        <v>327</v>
      </c>
      <c r="F16" s="21" t="s">
        <v>328</v>
      </c>
      <c r="G16" s="21" t="s">
        <v>329</v>
      </c>
      <c r="H16" s="21" t="s">
        <v>330</v>
      </c>
      <c r="I16" s="21" t="s">
        <v>331</v>
      </c>
      <c r="J16" s="21" t="s">
        <v>247</v>
      </c>
      <c r="K16" s="21" t="s">
        <v>332</v>
      </c>
      <c r="L16" s="21" t="s">
        <v>333</v>
      </c>
    </row>
    <row r="17" ht="62" customHeight="1" spans="1:12">
      <c r="A17" s="32" t="s">
        <v>298</v>
      </c>
      <c r="B17" s="32" t="s">
        <v>334</v>
      </c>
      <c r="C17" s="21">
        <v>3</v>
      </c>
      <c r="D17" s="21">
        <v>4</v>
      </c>
      <c r="E17" s="21" t="s">
        <v>335</v>
      </c>
      <c r="F17" s="21" t="s">
        <v>336</v>
      </c>
      <c r="G17" s="21" t="s">
        <v>337</v>
      </c>
      <c r="H17" s="21" t="s">
        <v>338</v>
      </c>
      <c r="I17" s="21" t="s">
        <v>339</v>
      </c>
      <c r="J17" s="21" t="s">
        <v>247</v>
      </c>
      <c r="K17" s="21" t="s">
        <v>340</v>
      </c>
      <c r="L17" s="21" t="s">
        <v>341</v>
      </c>
    </row>
    <row r="18" ht="62" customHeight="1" spans="1:12">
      <c r="A18" s="33" t="s">
        <v>342</v>
      </c>
      <c r="B18" s="33" t="s">
        <v>343</v>
      </c>
      <c r="C18" s="21">
        <v>4</v>
      </c>
      <c r="D18" s="21">
        <v>4</v>
      </c>
      <c r="E18" s="21" t="s">
        <v>344</v>
      </c>
      <c r="F18" s="21" t="s">
        <v>345</v>
      </c>
      <c r="G18" s="21" t="s">
        <v>346</v>
      </c>
      <c r="H18" s="21" t="s">
        <v>347</v>
      </c>
      <c r="I18" s="21" t="s">
        <v>348</v>
      </c>
      <c r="J18" s="21" t="s">
        <v>247</v>
      </c>
      <c r="K18" s="21" t="s">
        <v>349</v>
      </c>
      <c r="L18" s="21" t="s">
        <v>350</v>
      </c>
    </row>
    <row r="19" ht="62" customHeight="1" spans="1:12">
      <c r="A19" s="33" t="s">
        <v>342</v>
      </c>
      <c r="B19" s="33" t="s">
        <v>351</v>
      </c>
      <c r="C19" s="21">
        <v>3</v>
      </c>
      <c r="D19" s="21">
        <v>4</v>
      </c>
      <c r="E19" s="21" t="s">
        <v>352</v>
      </c>
      <c r="F19" s="21" t="s">
        <v>353</v>
      </c>
      <c r="G19" s="21" t="s">
        <v>354</v>
      </c>
      <c r="H19" s="21" t="s">
        <v>355</v>
      </c>
      <c r="I19" s="21" t="s">
        <v>356</v>
      </c>
      <c r="J19" s="21" t="s">
        <v>247</v>
      </c>
      <c r="K19" s="21" t="s">
        <v>357</v>
      </c>
      <c r="L19" s="21" t="s">
        <v>358</v>
      </c>
    </row>
    <row r="20" ht="62" customHeight="1" spans="1:12">
      <c r="A20" s="33" t="s">
        <v>342</v>
      </c>
      <c r="B20" s="33" t="s">
        <v>359</v>
      </c>
      <c r="C20" s="21">
        <v>3</v>
      </c>
      <c r="D20" s="21">
        <v>4</v>
      </c>
      <c r="E20" s="21" t="s">
        <v>360</v>
      </c>
      <c r="F20" s="21" t="s">
        <v>361</v>
      </c>
      <c r="G20" s="21" t="s">
        <v>362</v>
      </c>
      <c r="H20" s="21" t="s">
        <v>363</v>
      </c>
      <c r="I20" s="21" t="s">
        <v>364</v>
      </c>
      <c r="J20" s="21" t="s">
        <v>247</v>
      </c>
      <c r="K20" s="21" t="s">
        <v>365</v>
      </c>
      <c r="L20" s="21" t="s">
        <v>366</v>
      </c>
    </row>
    <row r="21" ht="62" customHeight="1" spans="1:12">
      <c r="A21" s="34" t="s">
        <v>367</v>
      </c>
      <c r="B21" s="34" t="s">
        <v>368</v>
      </c>
      <c r="C21" s="21">
        <v>4</v>
      </c>
      <c r="D21" s="21">
        <v>4</v>
      </c>
      <c r="E21" s="21" t="s">
        <v>369</v>
      </c>
      <c r="F21" s="21" t="s">
        <v>370</v>
      </c>
      <c r="G21" s="21" t="s">
        <v>371</v>
      </c>
      <c r="H21" s="21" t="s">
        <v>372</v>
      </c>
      <c r="I21" s="21" t="s">
        <v>373</v>
      </c>
      <c r="J21" s="21" t="s">
        <v>247</v>
      </c>
      <c r="K21" s="21" t="s">
        <v>374</v>
      </c>
      <c r="L21" s="21" t="s">
        <v>375</v>
      </c>
    </row>
    <row r="22" ht="62" customHeight="1" spans="1:12">
      <c r="A22" s="34" t="s">
        <v>367</v>
      </c>
      <c r="B22" s="34" t="s">
        <v>376</v>
      </c>
      <c r="C22" s="21">
        <v>3</v>
      </c>
      <c r="D22" s="21">
        <v>4</v>
      </c>
      <c r="E22" s="21" t="s">
        <v>377</v>
      </c>
      <c r="F22" s="21" t="s">
        <v>378</v>
      </c>
      <c r="G22" s="21" t="s">
        <v>379</v>
      </c>
      <c r="H22" s="21" t="s">
        <v>380</v>
      </c>
      <c r="I22" s="21" t="s">
        <v>381</v>
      </c>
      <c r="J22" s="21" t="s">
        <v>247</v>
      </c>
      <c r="K22" s="21" t="s">
        <v>382</v>
      </c>
      <c r="L22" s="21" t="s">
        <v>383</v>
      </c>
    </row>
    <row r="23" ht="62" customHeight="1" spans="1:12">
      <c r="A23" s="34" t="s">
        <v>367</v>
      </c>
      <c r="B23" s="34" t="s">
        <v>384</v>
      </c>
      <c r="C23" s="21">
        <v>3</v>
      </c>
      <c r="D23" s="21">
        <v>4</v>
      </c>
      <c r="E23" s="21" t="s">
        <v>385</v>
      </c>
      <c r="F23" s="21" t="s">
        <v>386</v>
      </c>
      <c r="G23" s="21" t="s">
        <v>387</v>
      </c>
      <c r="H23" s="21" t="s">
        <v>388</v>
      </c>
      <c r="I23" s="21" t="s">
        <v>389</v>
      </c>
      <c r="J23" s="21" t="s">
        <v>247</v>
      </c>
      <c r="K23" s="21" t="s">
        <v>390</v>
      </c>
      <c r="L23" s="21" t="s">
        <v>391</v>
      </c>
    </row>
    <row r="24" ht="62" customHeight="1" spans="1:12">
      <c r="A24" s="35" t="s">
        <v>392</v>
      </c>
      <c r="B24" s="35" t="s">
        <v>393</v>
      </c>
      <c r="C24" s="21">
        <v>3</v>
      </c>
      <c r="D24" s="21">
        <v>4</v>
      </c>
      <c r="E24" s="21" t="s">
        <v>394</v>
      </c>
      <c r="F24" s="21" t="s">
        <v>395</v>
      </c>
      <c r="G24" s="21" t="s">
        <v>396</v>
      </c>
      <c r="H24" s="21" t="s">
        <v>397</v>
      </c>
      <c r="I24" s="21" t="s">
        <v>398</v>
      </c>
      <c r="J24" s="21" t="s">
        <v>247</v>
      </c>
      <c r="K24" s="21" t="s">
        <v>399</v>
      </c>
      <c r="L24" s="21" t="s">
        <v>400</v>
      </c>
    </row>
    <row r="25" ht="62" customHeight="1" spans="1:12">
      <c r="A25" s="35" t="s">
        <v>392</v>
      </c>
      <c r="B25" s="35" t="s">
        <v>401</v>
      </c>
      <c r="C25" s="21">
        <v>2</v>
      </c>
      <c r="D25" s="21">
        <v>4</v>
      </c>
      <c r="E25" s="21" t="s">
        <v>402</v>
      </c>
      <c r="F25" s="21" t="s">
        <v>403</v>
      </c>
      <c r="G25" s="21" t="s">
        <v>404</v>
      </c>
      <c r="H25" s="21" t="s">
        <v>405</v>
      </c>
      <c r="I25" s="21" t="s">
        <v>406</v>
      </c>
      <c r="J25" s="21" t="s">
        <v>247</v>
      </c>
      <c r="K25" s="21" t="s">
        <v>407</v>
      </c>
      <c r="L25" s="21" t="s">
        <v>408</v>
      </c>
    </row>
    <row r="28" spans="1:12">
      <c r="A28" s="36" t="s">
        <v>409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</row>
    <row r="29" ht="51" spans="1:12">
      <c r="A29" s="37" t="s">
        <v>410</v>
      </c>
      <c r="B29" s="8" t="s">
        <v>411</v>
      </c>
    </row>
    <row r="30" ht="51" spans="1:12">
      <c r="A30" s="37" t="s">
        <v>412</v>
      </c>
      <c r="B30" s="8" t="s">
        <v>413</v>
      </c>
    </row>
    <row r="31" ht="51" spans="1:12">
      <c r="A31" s="37" t="s">
        <v>414</v>
      </c>
      <c r="B31" s="8" t="s">
        <v>415</v>
      </c>
    </row>
    <row r="32" ht="84" spans="1:12">
      <c r="A32" s="37" t="s">
        <v>416</v>
      </c>
      <c r="B32" s="8" t="s">
        <v>417</v>
      </c>
    </row>
    <row r="33" ht="68" spans="1:2">
      <c r="A33" s="37" t="s">
        <v>418</v>
      </c>
      <c r="B33" s="8" t="s">
        <v>419</v>
      </c>
    </row>
  </sheetData>
  <mergeCells count="1">
    <mergeCell ref="A28:L2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1"/>
  <sheetViews>
    <sheetView topLeftCell="A57" workbookViewId="0">
      <selection activeCell="G59" sqref="G59"/>
    </sheetView>
  </sheetViews>
  <sheetFormatPr defaultColWidth="9" defaultRowHeight="16.8"/>
  <cols>
    <col min="1" max="3" width="10" customWidth="1"/>
    <col min="4" max="4" width="17" customWidth="1"/>
    <col min="5" max="5" width="14" customWidth="1"/>
    <col min="6" max="6" width="9" customWidth="1"/>
    <col min="7" max="7" width="24" customWidth="1"/>
    <col min="8" max="8" width="12" customWidth="1"/>
    <col min="9" max="11" width="9" customWidth="1"/>
    <col min="12" max="12" width="10" customWidth="1"/>
    <col min="13" max="13" width="8" customWidth="1"/>
    <col min="14" max="15" width="10" customWidth="1"/>
    <col min="16" max="16" width="8" customWidth="1"/>
    <col min="17" max="17" width="9" customWidth="1"/>
    <col min="18" max="18" width="10" customWidth="1"/>
    <col min="19" max="19" width="11" customWidth="1"/>
    <col min="20" max="25" width="10" customWidth="1"/>
    <col min="26" max="27" width="11" customWidth="1"/>
    <col min="28" max="29" width="10" customWidth="1"/>
    <col min="30" max="30" width="13" customWidth="1"/>
    <col min="31" max="33" width="10" customWidth="1"/>
    <col min="34" max="34" width="11" customWidth="1"/>
    <col min="35" max="35" width="12" customWidth="1"/>
    <col min="36" max="36" width="11" customWidth="1"/>
    <col min="37" max="38" width="10" customWidth="1"/>
    <col min="39" max="39" width="28" customWidth="1"/>
    <col min="40" max="45" width="10" customWidth="1"/>
    <col min="46" max="48" width="12" customWidth="1"/>
    <col min="49" max="49" width="24" customWidth="1"/>
  </cols>
  <sheetData>
    <row r="1" ht="50" customHeight="1" spans="1:49">
      <c r="A1" s="2" t="s">
        <v>420</v>
      </c>
      <c r="B1" s="2" t="s">
        <v>116</v>
      </c>
      <c r="C1" s="2" t="s">
        <v>39</v>
      </c>
      <c r="D1" s="2" t="s">
        <v>421</v>
      </c>
      <c r="E1" s="2" t="s">
        <v>422</v>
      </c>
      <c r="F1" s="2" t="s">
        <v>423</v>
      </c>
      <c r="G1" s="2" t="s">
        <v>424</v>
      </c>
      <c r="H1" s="2" t="s">
        <v>425</v>
      </c>
      <c r="I1" s="2" t="s">
        <v>426</v>
      </c>
      <c r="J1" s="2" t="s">
        <v>427</v>
      </c>
      <c r="K1" s="2" t="s">
        <v>428</v>
      </c>
      <c r="L1" s="2" t="s">
        <v>429</v>
      </c>
      <c r="M1" s="2" t="s">
        <v>430</v>
      </c>
      <c r="N1" s="2" t="s">
        <v>431</v>
      </c>
      <c r="O1" s="2" t="s">
        <v>432</v>
      </c>
      <c r="P1" s="2" t="s">
        <v>433</v>
      </c>
      <c r="Q1" s="2" t="s">
        <v>434</v>
      </c>
      <c r="R1" s="2" t="s">
        <v>435</v>
      </c>
      <c r="S1" s="2" t="s">
        <v>436</v>
      </c>
      <c r="T1" s="2" t="s">
        <v>437</v>
      </c>
      <c r="U1" s="2" t="s">
        <v>438</v>
      </c>
      <c r="V1" s="2" t="s">
        <v>439</v>
      </c>
      <c r="W1" s="2" t="s">
        <v>440</v>
      </c>
      <c r="X1" s="2" t="s">
        <v>441</v>
      </c>
      <c r="Y1" s="2" t="s">
        <v>442</v>
      </c>
      <c r="Z1" s="2" t="s">
        <v>443</v>
      </c>
      <c r="AA1" s="2" t="s">
        <v>444</v>
      </c>
      <c r="AB1" s="2" t="s">
        <v>445</v>
      </c>
      <c r="AC1" s="2" t="s">
        <v>446</v>
      </c>
      <c r="AD1" s="2" t="s">
        <v>447</v>
      </c>
      <c r="AE1" s="2" t="s">
        <v>448</v>
      </c>
      <c r="AF1" s="2" t="s">
        <v>449</v>
      </c>
      <c r="AG1" s="2" t="s">
        <v>450</v>
      </c>
      <c r="AH1" s="2" t="s">
        <v>451</v>
      </c>
      <c r="AI1" s="2" t="s">
        <v>452</v>
      </c>
      <c r="AJ1" s="2" t="s">
        <v>453</v>
      </c>
      <c r="AK1" s="2" t="s">
        <v>454</v>
      </c>
      <c r="AL1" s="2" t="s">
        <v>455</v>
      </c>
      <c r="AM1" s="2" t="s">
        <v>456</v>
      </c>
      <c r="AN1" s="2" t="s">
        <v>457</v>
      </c>
      <c r="AO1" s="2" t="s">
        <v>458</v>
      </c>
      <c r="AP1" s="2" t="s">
        <v>459</v>
      </c>
      <c r="AQ1" s="2" t="s">
        <v>460</v>
      </c>
      <c r="AR1" s="2" t="s">
        <v>461</v>
      </c>
      <c r="AS1" s="2" t="s">
        <v>462</v>
      </c>
      <c r="AT1" s="2" t="s">
        <v>463</v>
      </c>
      <c r="AU1" s="2" t="s">
        <v>464</v>
      </c>
      <c r="AV1" s="2" t="s">
        <v>465</v>
      </c>
      <c r="AW1" s="2" t="s">
        <v>125</v>
      </c>
    </row>
    <row r="2" ht="185.1" spans="1:49">
      <c r="A2" s="25" t="s">
        <v>466</v>
      </c>
      <c r="B2" s="26" t="s">
        <v>126</v>
      </c>
      <c r="C2" s="26" t="s">
        <v>46</v>
      </c>
      <c r="D2" s="26" t="s">
        <v>467</v>
      </c>
      <c r="E2" s="27" t="s">
        <v>468</v>
      </c>
      <c r="F2" s="26" t="s">
        <v>469</v>
      </c>
      <c r="G2" s="26"/>
      <c r="H2" s="26"/>
      <c r="I2" s="26">
        <v>4</v>
      </c>
      <c r="J2" s="26">
        <v>4</v>
      </c>
      <c r="K2" s="26">
        <v>5</v>
      </c>
      <c r="L2" s="26">
        <v>4</v>
      </c>
      <c r="M2" s="26">
        <v>4</v>
      </c>
      <c r="N2" s="26">
        <v>4</v>
      </c>
      <c r="O2" s="26">
        <v>4</v>
      </c>
      <c r="P2" s="26">
        <v>4</v>
      </c>
      <c r="Q2" s="26">
        <v>4</v>
      </c>
      <c r="R2" s="26">
        <v>4</v>
      </c>
      <c r="S2" s="28">
        <f t="shared" ref="S2:S61" si="0">IF(COUNTA(I2:R2)=0,"",I2/5*4+J2/5*4+K2/5*4+L2/4*8+M2/4*5+N2/4*6+O2/4*4+P2/4*4+Q2/4*4+R2/4*2)</f>
        <v>43.4</v>
      </c>
      <c r="T2" s="26">
        <v>4</v>
      </c>
      <c r="U2" s="26">
        <v>4</v>
      </c>
      <c r="V2" s="26">
        <v>4</v>
      </c>
      <c r="W2" s="26">
        <v>4</v>
      </c>
      <c r="X2" s="26">
        <v>4</v>
      </c>
      <c r="Y2" s="26">
        <v>4</v>
      </c>
      <c r="Z2" s="28">
        <f t="shared" ref="Z2:Z61" si="1">IF(COUNTA(T2:Y2)=0,"",T2/4*7+U2/4*6+V2/4*6+W2/4*4+X2/4*4+Y2/4*3)</f>
        <v>30</v>
      </c>
      <c r="AA2" s="26">
        <v>4</v>
      </c>
      <c r="AB2" s="26">
        <v>4</v>
      </c>
      <c r="AC2" s="26">
        <v>4</v>
      </c>
      <c r="AD2" s="28">
        <f t="shared" ref="AD2:AD61" si="2">IF(COUNTA(AA2:AC2)=0,"",AA2/4*4+AB2/4*3+AC2/4*3)</f>
        <v>10</v>
      </c>
      <c r="AE2" s="26">
        <v>4</v>
      </c>
      <c r="AF2" s="26">
        <v>4</v>
      </c>
      <c r="AG2" s="26">
        <v>4</v>
      </c>
      <c r="AH2" s="28">
        <f t="shared" ref="AH2:AH61" si="3">IF(COUNTA(AE2:AG2)=0,"",AE2/4*4+AF2/4*3+AG2/4*3)</f>
        <v>10</v>
      </c>
      <c r="AI2" s="26">
        <v>4</v>
      </c>
      <c r="AJ2" s="26">
        <v>3</v>
      </c>
      <c r="AK2" s="28">
        <f t="shared" ref="AK2:AK61" si="4">IF(COUNTA(AI2:AJ2)=0,"",AI2/4*3+AJ2/4*2)</f>
        <v>4.5</v>
      </c>
      <c r="AL2" s="28">
        <f t="shared" ref="AL2:AL61" si="5">IF(COUNTA(S2,Z2,AD2,AH2,AK2)&lt;5,"",SUM(S2,Z2,AD2,AH2,AK2))</f>
        <v>97.9</v>
      </c>
      <c r="AM2" s="26"/>
      <c r="AN2" s="25" t="str">
        <f t="shared" ref="AN2:AN61" si="6">IF(AM2="","否","是")</f>
        <v>否</v>
      </c>
      <c r="AO2" s="25" t="str">
        <f t="shared" ref="AO2:AO61" si="7">IF(S2="","",IF(S2&gt;=36,"合格",IF(S2&gt;=31.5,"临界","不合格")))</f>
        <v>合格</v>
      </c>
      <c r="AP2" s="25" t="str">
        <f t="shared" ref="AP2:AP61" si="8">IF(Z2="","",IF(Z2&gt;=21,"合格",IF(Z2&gt;=18,"临界","不合格")))</f>
        <v>合格</v>
      </c>
      <c r="AQ2" s="25" t="str">
        <f t="shared" ref="AQ2:AQ61" si="9">IF(AD2="","",IF(AD2&gt;=7,"合格",IF(AD2&gt;=6,"临界","不合格")))</f>
        <v>合格</v>
      </c>
      <c r="AR2" s="25" t="str">
        <f t="shared" ref="AR2:AR61" si="10">IF(AH2="","",IF(AH2&gt;=7,"合格",IF(AH2&gt;=6,"临界","不合格")))</f>
        <v>合格</v>
      </c>
      <c r="AS2" s="25" t="str">
        <f t="shared" ref="AS2:AS61" si="11">IF(AK2="","",IF(AK2&gt;=4,"合格",IF(AK2&gt;=3,"临界","不合格")))</f>
        <v>合格</v>
      </c>
      <c r="AT2" s="25" t="str">
        <f t="shared" ref="AT2:AT61" si="12">IF(AL2="","",IF(AN2="是","严重失败",IF(AND(S2&gt;=36,Z2&gt;=21,AD2&gt;=7,AH2&gt;=7,AK2&gt;=4,AL2&gt;=80),"生产可用",IF(OR(S2&lt;31.5,Z2&lt;18,AD2&lt;6,AH2&lt;6,AK2&lt;3),"不可用","待复核"))))</f>
        <v>生产可用</v>
      </c>
      <c r="AU2" s="25"/>
      <c r="AV2" s="29"/>
      <c r="AW2" s="30"/>
    </row>
    <row r="3" ht="185.1" spans="1:49">
      <c r="A3" s="25" t="s">
        <v>470</v>
      </c>
      <c r="B3" s="26" t="s">
        <v>126</v>
      </c>
      <c r="C3" s="26" t="s">
        <v>46</v>
      </c>
      <c r="D3" s="26" t="s">
        <v>467</v>
      </c>
      <c r="E3" s="27" t="s">
        <v>468</v>
      </c>
      <c r="F3" s="26" t="s">
        <v>471</v>
      </c>
      <c r="G3" s="26"/>
      <c r="H3" s="26"/>
      <c r="I3" s="26">
        <v>4</v>
      </c>
      <c r="J3" s="26">
        <v>4</v>
      </c>
      <c r="K3" s="26">
        <v>5</v>
      </c>
      <c r="L3" s="26">
        <v>4</v>
      </c>
      <c r="M3" s="26">
        <v>4</v>
      </c>
      <c r="N3" s="26">
        <v>4</v>
      </c>
      <c r="O3" s="26">
        <v>4</v>
      </c>
      <c r="P3" s="26">
        <v>4</v>
      </c>
      <c r="Q3" s="26">
        <v>4</v>
      </c>
      <c r="R3" s="26">
        <v>4</v>
      </c>
      <c r="S3" s="28">
        <f t="shared" si="0"/>
        <v>43.4</v>
      </c>
      <c r="T3" s="26">
        <v>4</v>
      </c>
      <c r="U3" s="26">
        <v>4</v>
      </c>
      <c r="V3" s="26">
        <v>4</v>
      </c>
      <c r="W3" s="26">
        <v>4</v>
      </c>
      <c r="X3" s="26">
        <v>4</v>
      </c>
      <c r="Y3" s="26">
        <v>4</v>
      </c>
      <c r="Z3" s="28">
        <f t="shared" si="1"/>
        <v>30</v>
      </c>
      <c r="AA3" s="26">
        <v>4</v>
      </c>
      <c r="AB3" s="26">
        <v>4</v>
      </c>
      <c r="AC3" s="26">
        <v>4</v>
      </c>
      <c r="AD3" s="28">
        <f t="shared" si="2"/>
        <v>10</v>
      </c>
      <c r="AE3" s="26">
        <v>4</v>
      </c>
      <c r="AF3" s="26">
        <v>4</v>
      </c>
      <c r="AG3" s="26">
        <v>4</v>
      </c>
      <c r="AH3" s="28">
        <f t="shared" si="3"/>
        <v>10</v>
      </c>
      <c r="AI3" s="26">
        <v>4</v>
      </c>
      <c r="AJ3" s="26">
        <v>3</v>
      </c>
      <c r="AK3" s="28">
        <f t="shared" si="4"/>
        <v>4.5</v>
      </c>
      <c r="AL3" s="28">
        <f t="shared" si="5"/>
        <v>97.9</v>
      </c>
      <c r="AM3" s="26"/>
      <c r="AN3" s="25" t="str">
        <f t="shared" si="6"/>
        <v>否</v>
      </c>
      <c r="AO3" s="25" t="str">
        <f t="shared" si="7"/>
        <v>合格</v>
      </c>
      <c r="AP3" s="25" t="str">
        <f t="shared" si="8"/>
        <v>合格</v>
      </c>
      <c r="AQ3" s="25" t="str">
        <f t="shared" si="9"/>
        <v>合格</v>
      </c>
      <c r="AR3" s="25" t="str">
        <f t="shared" si="10"/>
        <v>合格</v>
      </c>
      <c r="AS3" s="25" t="str">
        <f t="shared" si="11"/>
        <v>合格</v>
      </c>
      <c r="AT3" s="25" t="str">
        <f t="shared" si="12"/>
        <v>生产可用</v>
      </c>
      <c r="AU3" s="25"/>
      <c r="AV3" s="29"/>
      <c r="AW3" s="30"/>
    </row>
    <row r="4" ht="184.95" spans="1:49">
      <c r="A4" s="25" t="s">
        <v>472</v>
      </c>
      <c r="B4" s="26" t="s">
        <v>126</v>
      </c>
      <c r="C4" s="26" t="s">
        <v>46</v>
      </c>
      <c r="D4" s="26" t="s">
        <v>473</v>
      </c>
      <c r="E4" s="27" t="s">
        <v>474</v>
      </c>
      <c r="F4" s="26" t="s">
        <v>469</v>
      </c>
      <c r="G4" s="26"/>
      <c r="H4" s="26"/>
      <c r="I4" s="26">
        <v>4</v>
      </c>
      <c r="J4" s="26">
        <v>3</v>
      </c>
      <c r="K4" s="26">
        <v>4</v>
      </c>
      <c r="L4" s="26">
        <v>3</v>
      </c>
      <c r="M4" s="26">
        <v>4</v>
      </c>
      <c r="N4" s="26">
        <v>4</v>
      </c>
      <c r="O4" s="26">
        <v>3</v>
      </c>
      <c r="P4" s="26">
        <v>4</v>
      </c>
      <c r="Q4" s="26">
        <v>4</v>
      </c>
      <c r="R4" s="26">
        <v>2</v>
      </c>
      <c r="S4" s="28">
        <f t="shared" si="0"/>
        <v>37.8</v>
      </c>
      <c r="T4" s="26">
        <v>4</v>
      </c>
      <c r="U4" s="26">
        <v>4</v>
      </c>
      <c r="V4" s="26">
        <v>4</v>
      </c>
      <c r="W4" s="26">
        <v>4</v>
      </c>
      <c r="X4" s="26">
        <v>3</v>
      </c>
      <c r="Y4" s="26">
        <v>4</v>
      </c>
      <c r="Z4" s="28">
        <f t="shared" si="1"/>
        <v>29</v>
      </c>
      <c r="AA4" s="26">
        <v>3</v>
      </c>
      <c r="AB4" s="26">
        <v>3</v>
      </c>
      <c r="AC4" s="26">
        <v>3</v>
      </c>
      <c r="AD4" s="28">
        <f t="shared" si="2"/>
        <v>7.5</v>
      </c>
      <c r="AE4" s="26">
        <v>4</v>
      </c>
      <c r="AF4" s="26">
        <v>4</v>
      </c>
      <c r="AG4" s="26">
        <v>4</v>
      </c>
      <c r="AH4" s="28">
        <f t="shared" si="3"/>
        <v>10</v>
      </c>
      <c r="AI4" s="26">
        <v>4</v>
      </c>
      <c r="AJ4" s="26">
        <v>3</v>
      </c>
      <c r="AK4" s="28">
        <f t="shared" si="4"/>
        <v>4.5</v>
      </c>
      <c r="AL4" s="28">
        <f t="shared" si="5"/>
        <v>88.8</v>
      </c>
      <c r="AM4" s="26"/>
      <c r="AN4" s="25" t="str">
        <f t="shared" si="6"/>
        <v>否</v>
      </c>
      <c r="AO4" s="25" t="str">
        <f t="shared" si="7"/>
        <v>合格</v>
      </c>
      <c r="AP4" s="25" t="str">
        <f t="shared" si="8"/>
        <v>合格</v>
      </c>
      <c r="AQ4" s="25" t="str">
        <f t="shared" si="9"/>
        <v>合格</v>
      </c>
      <c r="AR4" s="25" t="str">
        <f t="shared" si="10"/>
        <v>合格</v>
      </c>
      <c r="AS4" s="25" t="str">
        <f t="shared" si="11"/>
        <v>合格</v>
      </c>
      <c r="AT4" s="25" t="str">
        <f t="shared" si="12"/>
        <v>生产可用</v>
      </c>
      <c r="AU4" s="25"/>
      <c r="AV4" s="29"/>
      <c r="AW4" s="30"/>
    </row>
    <row r="5" ht="184.95" spans="1:49">
      <c r="A5" s="25" t="s">
        <v>475</v>
      </c>
      <c r="B5" s="26" t="s">
        <v>126</v>
      </c>
      <c r="C5" s="26" t="s">
        <v>46</v>
      </c>
      <c r="D5" s="26" t="s">
        <v>473</v>
      </c>
      <c r="E5" s="27" t="s">
        <v>474</v>
      </c>
      <c r="F5" s="26" t="s">
        <v>471</v>
      </c>
      <c r="G5" s="26"/>
      <c r="H5" s="26"/>
      <c r="I5" s="26">
        <v>4</v>
      </c>
      <c r="J5" s="26">
        <v>3</v>
      </c>
      <c r="K5" s="26">
        <v>4</v>
      </c>
      <c r="L5" s="26">
        <v>3</v>
      </c>
      <c r="M5" s="26">
        <v>4</v>
      </c>
      <c r="N5" s="26">
        <v>4</v>
      </c>
      <c r="O5" s="26">
        <v>3</v>
      </c>
      <c r="P5" s="26">
        <v>4</v>
      </c>
      <c r="Q5" s="26">
        <v>4</v>
      </c>
      <c r="R5" s="26">
        <v>3</v>
      </c>
      <c r="S5" s="28">
        <f t="shared" si="0"/>
        <v>38.3</v>
      </c>
      <c r="T5" s="26">
        <v>4</v>
      </c>
      <c r="U5" s="26">
        <v>4</v>
      </c>
      <c r="V5" s="26">
        <v>4</v>
      </c>
      <c r="W5" s="26">
        <v>4</v>
      </c>
      <c r="X5" s="26">
        <v>4</v>
      </c>
      <c r="Y5" s="26">
        <v>4</v>
      </c>
      <c r="Z5" s="28">
        <f t="shared" si="1"/>
        <v>30</v>
      </c>
      <c r="AA5" s="26">
        <v>3</v>
      </c>
      <c r="AB5" s="26">
        <v>3</v>
      </c>
      <c r="AC5" s="26">
        <v>3</v>
      </c>
      <c r="AD5" s="28">
        <f t="shared" si="2"/>
        <v>7.5</v>
      </c>
      <c r="AE5" s="26">
        <v>4</v>
      </c>
      <c r="AF5" s="26">
        <v>4</v>
      </c>
      <c r="AG5" s="26">
        <v>4</v>
      </c>
      <c r="AH5" s="28">
        <f t="shared" si="3"/>
        <v>10</v>
      </c>
      <c r="AI5" s="26">
        <v>4</v>
      </c>
      <c r="AJ5" s="26">
        <v>3</v>
      </c>
      <c r="AK5" s="28">
        <f t="shared" si="4"/>
        <v>4.5</v>
      </c>
      <c r="AL5" s="28">
        <f t="shared" si="5"/>
        <v>90.3</v>
      </c>
      <c r="AM5" s="26"/>
      <c r="AN5" s="25" t="str">
        <f t="shared" si="6"/>
        <v>否</v>
      </c>
      <c r="AO5" s="25" t="str">
        <f t="shared" si="7"/>
        <v>合格</v>
      </c>
      <c r="AP5" s="25" t="str">
        <f t="shared" si="8"/>
        <v>合格</v>
      </c>
      <c r="AQ5" s="25" t="str">
        <f t="shared" si="9"/>
        <v>合格</v>
      </c>
      <c r="AR5" s="25" t="str">
        <f t="shared" si="10"/>
        <v>合格</v>
      </c>
      <c r="AS5" s="25" t="str">
        <f t="shared" si="11"/>
        <v>合格</v>
      </c>
      <c r="AT5" s="25" t="str">
        <f t="shared" si="12"/>
        <v>生产可用</v>
      </c>
      <c r="AU5" s="25"/>
      <c r="AV5" s="29"/>
      <c r="AW5" s="30"/>
    </row>
    <row r="6" ht="122.7" spans="1:49">
      <c r="A6" s="25" t="s">
        <v>476</v>
      </c>
      <c r="B6" s="26" t="s">
        <v>126</v>
      </c>
      <c r="C6" s="26" t="s">
        <v>46</v>
      </c>
      <c r="D6" s="26" t="s">
        <v>477</v>
      </c>
      <c r="E6" s="27">
        <v>2.5</v>
      </c>
      <c r="F6" s="26" t="s">
        <v>469</v>
      </c>
      <c r="G6" s="26"/>
      <c r="H6" s="26"/>
      <c r="I6" s="26">
        <v>3</v>
      </c>
      <c r="J6" s="26">
        <v>3</v>
      </c>
      <c r="K6" s="26">
        <v>4</v>
      </c>
      <c r="L6" s="26">
        <v>3</v>
      </c>
      <c r="M6" s="26">
        <v>3</v>
      </c>
      <c r="N6" s="26">
        <v>3</v>
      </c>
      <c r="O6" s="26">
        <v>4</v>
      </c>
      <c r="P6" s="26">
        <v>4</v>
      </c>
      <c r="Q6" s="26">
        <v>4</v>
      </c>
      <c r="R6" s="26">
        <v>4</v>
      </c>
      <c r="S6" s="28">
        <f t="shared" si="0"/>
        <v>36.25</v>
      </c>
      <c r="T6" s="26">
        <v>4</v>
      </c>
      <c r="U6" s="26">
        <v>4</v>
      </c>
      <c r="V6" s="26">
        <v>4</v>
      </c>
      <c r="W6" s="26">
        <v>4</v>
      </c>
      <c r="X6" s="26">
        <v>4</v>
      </c>
      <c r="Y6" s="26">
        <v>4</v>
      </c>
      <c r="Z6" s="28">
        <f t="shared" si="1"/>
        <v>30</v>
      </c>
      <c r="AA6" s="26">
        <v>0</v>
      </c>
      <c r="AB6" s="26">
        <v>4</v>
      </c>
      <c r="AC6" s="26">
        <v>4</v>
      </c>
      <c r="AD6" s="28">
        <f t="shared" si="2"/>
        <v>6</v>
      </c>
      <c r="AE6" s="26">
        <v>4</v>
      </c>
      <c r="AF6" s="26">
        <v>4</v>
      </c>
      <c r="AG6" s="26">
        <v>4</v>
      </c>
      <c r="AH6" s="28">
        <f t="shared" si="3"/>
        <v>10</v>
      </c>
      <c r="AI6" s="26">
        <v>4</v>
      </c>
      <c r="AJ6" s="26">
        <v>3</v>
      </c>
      <c r="AK6" s="28">
        <f t="shared" si="4"/>
        <v>4.5</v>
      </c>
      <c r="AL6" s="28">
        <f t="shared" si="5"/>
        <v>86.75</v>
      </c>
      <c r="AM6" s="26"/>
      <c r="AN6" s="25" t="str">
        <f t="shared" si="6"/>
        <v>否</v>
      </c>
      <c r="AO6" s="25" t="str">
        <f t="shared" si="7"/>
        <v>合格</v>
      </c>
      <c r="AP6" s="25" t="str">
        <f t="shared" si="8"/>
        <v>合格</v>
      </c>
      <c r="AQ6" s="25" t="str">
        <f t="shared" si="9"/>
        <v>临界</v>
      </c>
      <c r="AR6" s="25" t="str">
        <f t="shared" si="10"/>
        <v>合格</v>
      </c>
      <c r="AS6" s="25" t="str">
        <f t="shared" si="11"/>
        <v>合格</v>
      </c>
      <c r="AT6" s="25" t="str">
        <f t="shared" si="12"/>
        <v>待复核</v>
      </c>
      <c r="AU6" s="25"/>
      <c r="AV6" s="29"/>
      <c r="AW6" s="30"/>
    </row>
    <row r="7" ht="122.7" spans="1:49">
      <c r="A7" s="25" t="s">
        <v>478</v>
      </c>
      <c r="B7" s="26" t="s">
        <v>126</v>
      </c>
      <c r="C7" s="26" t="s">
        <v>46</v>
      </c>
      <c r="D7" s="26" t="s">
        <v>477</v>
      </c>
      <c r="E7" s="27">
        <v>2.5</v>
      </c>
      <c r="F7" s="26" t="s">
        <v>471</v>
      </c>
      <c r="G7" s="26"/>
      <c r="H7" s="26"/>
      <c r="I7" s="26">
        <v>3</v>
      </c>
      <c r="J7" s="26">
        <v>3</v>
      </c>
      <c r="K7" s="26">
        <v>4</v>
      </c>
      <c r="L7" s="26">
        <v>3</v>
      </c>
      <c r="M7" s="26">
        <v>3</v>
      </c>
      <c r="N7" s="26">
        <v>3</v>
      </c>
      <c r="O7" s="26">
        <v>4</v>
      </c>
      <c r="P7" s="26">
        <v>4</v>
      </c>
      <c r="Q7" s="26">
        <v>4</v>
      </c>
      <c r="R7" s="26">
        <v>4</v>
      </c>
      <c r="S7" s="28">
        <f t="shared" si="0"/>
        <v>36.25</v>
      </c>
      <c r="T7" s="26">
        <v>4</v>
      </c>
      <c r="U7" s="26">
        <v>4</v>
      </c>
      <c r="V7" s="26">
        <v>4</v>
      </c>
      <c r="W7" s="26">
        <v>4</v>
      </c>
      <c r="X7" s="26">
        <v>4</v>
      </c>
      <c r="Y7" s="26">
        <v>4</v>
      </c>
      <c r="Z7" s="28">
        <f t="shared" si="1"/>
        <v>30</v>
      </c>
      <c r="AA7" s="26">
        <v>0</v>
      </c>
      <c r="AB7" s="26">
        <v>4</v>
      </c>
      <c r="AC7" s="26">
        <v>4</v>
      </c>
      <c r="AD7" s="28">
        <f t="shared" si="2"/>
        <v>6</v>
      </c>
      <c r="AE7" s="26">
        <v>4</v>
      </c>
      <c r="AF7" s="26">
        <v>4</v>
      </c>
      <c r="AG7" s="26">
        <v>4</v>
      </c>
      <c r="AH7" s="28">
        <f t="shared" si="3"/>
        <v>10</v>
      </c>
      <c r="AI7" s="26">
        <v>4</v>
      </c>
      <c r="AJ7" s="26">
        <v>3</v>
      </c>
      <c r="AK7" s="28">
        <f t="shared" si="4"/>
        <v>4.5</v>
      </c>
      <c r="AL7" s="28">
        <f t="shared" si="5"/>
        <v>86.75</v>
      </c>
      <c r="AM7" s="26"/>
      <c r="AN7" s="25" t="str">
        <f t="shared" si="6"/>
        <v>否</v>
      </c>
      <c r="AO7" s="25" t="str">
        <f t="shared" si="7"/>
        <v>合格</v>
      </c>
      <c r="AP7" s="25" t="str">
        <f t="shared" si="8"/>
        <v>合格</v>
      </c>
      <c r="AQ7" s="25" t="str">
        <f t="shared" si="9"/>
        <v>临界</v>
      </c>
      <c r="AR7" s="25" t="str">
        <f t="shared" si="10"/>
        <v>合格</v>
      </c>
      <c r="AS7" s="25" t="str">
        <f t="shared" si="11"/>
        <v>合格</v>
      </c>
      <c r="AT7" s="25" t="str">
        <f t="shared" si="12"/>
        <v>待复核</v>
      </c>
      <c r="AU7" s="25"/>
      <c r="AV7" s="29"/>
      <c r="AW7" s="30"/>
    </row>
    <row r="8" ht="186.1" spans="1:49">
      <c r="A8" s="25" t="s">
        <v>479</v>
      </c>
      <c r="B8" s="26" t="s">
        <v>136</v>
      </c>
      <c r="C8" s="26" t="s">
        <v>53</v>
      </c>
      <c r="D8" s="26" t="s">
        <v>467</v>
      </c>
      <c r="E8" s="27" t="s">
        <v>468</v>
      </c>
      <c r="F8" s="26" t="s">
        <v>469</v>
      </c>
      <c r="G8" s="26"/>
      <c r="H8" s="26"/>
      <c r="I8" s="26">
        <v>5</v>
      </c>
      <c r="J8" s="26">
        <v>5</v>
      </c>
      <c r="K8" s="26">
        <v>5</v>
      </c>
      <c r="L8" s="26">
        <v>4</v>
      </c>
      <c r="M8" s="26">
        <v>4</v>
      </c>
      <c r="N8" s="26">
        <v>4</v>
      </c>
      <c r="O8" s="26">
        <v>4</v>
      </c>
      <c r="P8" s="26">
        <v>4</v>
      </c>
      <c r="Q8" s="26">
        <v>4</v>
      </c>
      <c r="R8" s="26">
        <v>4</v>
      </c>
      <c r="S8" s="28">
        <f t="shared" si="0"/>
        <v>45</v>
      </c>
      <c r="T8" s="26">
        <v>4</v>
      </c>
      <c r="U8" s="26">
        <v>4</v>
      </c>
      <c r="V8" s="26">
        <v>4</v>
      </c>
      <c r="W8" s="26">
        <v>4</v>
      </c>
      <c r="X8" s="26">
        <v>4</v>
      </c>
      <c r="Y8" s="26">
        <v>4</v>
      </c>
      <c r="Z8" s="28">
        <f t="shared" si="1"/>
        <v>30</v>
      </c>
      <c r="AA8" s="26">
        <v>4</v>
      </c>
      <c r="AB8" s="26">
        <v>4</v>
      </c>
      <c r="AC8" s="26">
        <v>4</v>
      </c>
      <c r="AD8" s="28">
        <f t="shared" si="2"/>
        <v>10</v>
      </c>
      <c r="AE8" s="26">
        <v>4</v>
      </c>
      <c r="AF8" s="26">
        <v>4</v>
      </c>
      <c r="AG8" s="26">
        <v>4</v>
      </c>
      <c r="AH8" s="28">
        <f t="shared" si="3"/>
        <v>10</v>
      </c>
      <c r="AI8" s="26">
        <v>4</v>
      </c>
      <c r="AJ8" s="26">
        <v>3</v>
      </c>
      <c r="AK8" s="28">
        <f t="shared" si="4"/>
        <v>4.5</v>
      </c>
      <c r="AL8" s="28">
        <f t="shared" si="5"/>
        <v>99.5</v>
      </c>
      <c r="AM8" s="26"/>
      <c r="AN8" s="25" t="str">
        <f t="shared" si="6"/>
        <v>否</v>
      </c>
      <c r="AO8" s="25" t="str">
        <f t="shared" si="7"/>
        <v>合格</v>
      </c>
      <c r="AP8" s="25" t="str">
        <f t="shared" si="8"/>
        <v>合格</v>
      </c>
      <c r="AQ8" s="25" t="str">
        <f t="shared" si="9"/>
        <v>合格</v>
      </c>
      <c r="AR8" s="25" t="str">
        <f t="shared" si="10"/>
        <v>合格</v>
      </c>
      <c r="AS8" s="25" t="str">
        <f t="shared" si="11"/>
        <v>合格</v>
      </c>
      <c r="AT8" s="25" t="str">
        <f t="shared" si="12"/>
        <v>生产可用</v>
      </c>
      <c r="AU8" s="25"/>
      <c r="AV8" s="29"/>
      <c r="AW8" s="30"/>
    </row>
    <row r="9" ht="186.1" spans="1:49">
      <c r="A9" s="25" t="s">
        <v>480</v>
      </c>
      <c r="B9" s="26" t="s">
        <v>136</v>
      </c>
      <c r="C9" s="26" t="s">
        <v>53</v>
      </c>
      <c r="D9" s="26" t="s">
        <v>467</v>
      </c>
      <c r="E9" s="27" t="s">
        <v>468</v>
      </c>
      <c r="F9" s="26" t="s">
        <v>471</v>
      </c>
      <c r="G9" s="26"/>
      <c r="H9" s="26"/>
      <c r="I9" s="26">
        <v>5</v>
      </c>
      <c r="J9" s="26">
        <v>5</v>
      </c>
      <c r="K9" s="26">
        <v>5</v>
      </c>
      <c r="L9" s="26">
        <v>4</v>
      </c>
      <c r="M9" s="26">
        <v>4</v>
      </c>
      <c r="N9" s="26">
        <v>4</v>
      </c>
      <c r="O9" s="26">
        <v>4</v>
      </c>
      <c r="P9" s="26">
        <v>4</v>
      </c>
      <c r="Q9" s="26">
        <v>4</v>
      </c>
      <c r="R9" s="26">
        <v>4</v>
      </c>
      <c r="S9" s="28">
        <f t="shared" si="0"/>
        <v>45</v>
      </c>
      <c r="T9" s="26">
        <v>4</v>
      </c>
      <c r="U9" s="26">
        <v>4</v>
      </c>
      <c r="V9" s="26">
        <v>4</v>
      </c>
      <c r="W9" s="26">
        <v>4</v>
      </c>
      <c r="X9" s="26">
        <v>4</v>
      </c>
      <c r="Y9" s="26">
        <v>4</v>
      </c>
      <c r="Z9" s="28">
        <f t="shared" si="1"/>
        <v>30</v>
      </c>
      <c r="AA9" s="26">
        <v>4</v>
      </c>
      <c r="AB9" s="26">
        <v>4</v>
      </c>
      <c r="AC9" s="26">
        <v>4</v>
      </c>
      <c r="AD9" s="28">
        <f t="shared" si="2"/>
        <v>10</v>
      </c>
      <c r="AE9" s="26">
        <v>4</v>
      </c>
      <c r="AF9" s="26">
        <v>4</v>
      </c>
      <c r="AG9" s="26">
        <v>4</v>
      </c>
      <c r="AH9" s="28">
        <f t="shared" si="3"/>
        <v>10</v>
      </c>
      <c r="AI9" s="26">
        <v>4</v>
      </c>
      <c r="AJ9" s="26">
        <v>3</v>
      </c>
      <c r="AK9" s="28">
        <f t="shared" si="4"/>
        <v>4.5</v>
      </c>
      <c r="AL9" s="28">
        <f t="shared" si="5"/>
        <v>99.5</v>
      </c>
      <c r="AM9" s="26"/>
      <c r="AN9" s="25" t="str">
        <f t="shared" si="6"/>
        <v>否</v>
      </c>
      <c r="AO9" s="25" t="str">
        <f t="shared" si="7"/>
        <v>合格</v>
      </c>
      <c r="AP9" s="25" t="str">
        <f t="shared" si="8"/>
        <v>合格</v>
      </c>
      <c r="AQ9" s="25" t="str">
        <f t="shared" si="9"/>
        <v>合格</v>
      </c>
      <c r="AR9" s="25" t="str">
        <f t="shared" si="10"/>
        <v>合格</v>
      </c>
      <c r="AS9" s="25" t="str">
        <f t="shared" si="11"/>
        <v>合格</v>
      </c>
      <c r="AT9" s="25" t="str">
        <f t="shared" si="12"/>
        <v>生产可用</v>
      </c>
      <c r="AU9" s="25"/>
      <c r="AV9" s="29"/>
      <c r="AW9" s="30"/>
    </row>
    <row r="10" ht="186.3" spans="1:49">
      <c r="A10" s="25" t="s">
        <v>481</v>
      </c>
      <c r="B10" s="26" t="s">
        <v>136</v>
      </c>
      <c r="C10" s="26" t="s">
        <v>53</v>
      </c>
      <c r="D10" s="26" t="s">
        <v>473</v>
      </c>
      <c r="E10" s="27" t="s">
        <v>474</v>
      </c>
      <c r="F10" s="26" t="s">
        <v>469</v>
      </c>
      <c r="G10" s="26"/>
      <c r="H10" s="26"/>
      <c r="I10" s="26">
        <v>3</v>
      </c>
      <c r="J10" s="26">
        <v>5</v>
      </c>
      <c r="K10" s="26">
        <v>3</v>
      </c>
      <c r="L10" s="26">
        <v>3</v>
      </c>
      <c r="M10" s="26">
        <v>4</v>
      </c>
      <c r="N10" s="26">
        <v>4</v>
      </c>
      <c r="O10" s="26">
        <v>3</v>
      </c>
      <c r="P10" s="26">
        <v>4</v>
      </c>
      <c r="Q10" s="26">
        <v>3</v>
      </c>
      <c r="R10" s="26">
        <v>4</v>
      </c>
      <c r="S10" s="28">
        <f t="shared" si="0"/>
        <v>37.8</v>
      </c>
      <c r="T10" s="26">
        <v>4</v>
      </c>
      <c r="U10" s="26">
        <v>4</v>
      </c>
      <c r="V10" s="26">
        <v>4</v>
      </c>
      <c r="W10" s="26">
        <v>4</v>
      </c>
      <c r="X10" s="26">
        <v>4</v>
      </c>
      <c r="Y10" s="26">
        <v>4</v>
      </c>
      <c r="Z10" s="28">
        <f t="shared" si="1"/>
        <v>30</v>
      </c>
      <c r="AA10" s="26">
        <v>3</v>
      </c>
      <c r="AB10" s="26">
        <v>3</v>
      </c>
      <c r="AC10" s="26">
        <v>3</v>
      </c>
      <c r="AD10" s="28">
        <f t="shared" si="2"/>
        <v>7.5</v>
      </c>
      <c r="AE10" s="26">
        <v>4</v>
      </c>
      <c r="AF10" s="26">
        <v>4</v>
      </c>
      <c r="AG10" s="26">
        <v>4</v>
      </c>
      <c r="AH10" s="28">
        <f t="shared" si="3"/>
        <v>10</v>
      </c>
      <c r="AI10" s="26">
        <v>4</v>
      </c>
      <c r="AJ10" s="26">
        <v>3</v>
      </c>
      <c r="AK10" s="28">
        <f t="shared" si="4"/>
        <v>4.5</v>
      </c>
      <c r="AL10" s="28">
        <f t="shared" si="5"/>
        <v>89.8</v>
      </c>
      <c r="AM10" s="26"/>
      <c r="AN10" s="25" t="str">
        <f t="shared" si="6"/>
        <v>否</v>
      </c>
      <c r="AO10" s="25" t="str">
        <f t="shared" si="7"/>
        <v>合格</v>
      </c>
      <c r="AP10" s="25" t="str">
        <f t="shared" si="8"/>
        <v>合格</v>
      </c>
      <c r="AQ10" s="25" t="str">
        <f t="shared" si="9"/>
        <v>合格</v>
      </c>
      <c r="AR10" s="25" t="str">
        <f t="shared" si="10"/>
        <v>合格</v>
      </c>
      <c r="AS10" s="25" t="str">
        <f t="shared" si="11"/>
        <v>合格</v>
      </c>
      <c r="AT10" s="25" t="str">
        <f t="shared" si="12"/>
        <v>生产可用</v>
      </c>
      <c r="AU10" s="25"/>
      <c r="AV10" s="29"/>
      <c r="AW10" s="30" t="s">
        <v>482</v>
      </c>
    </row>
    <row r="11" ht="186.3" spans="1:49">
      <c r="A11" s="25" t="s">
        <v>483</v>
      </c>
      <c r="B11" s="26" t="s">
        <v>136</v>
      </c>
      <c r="C11" s="26" t="s">
        <v>53</v>
      </c>
      <c r="D11" s="26" t="s">
        <v>473</v>
      </c>
      <c r="E11" s="27" t="s">
        <v>474</v>
      </c>
      <c r="F11" s="26" t="s">
        <v>471</v>
      </c>
      <c r="G11" s="26"/>
      <c r="H11" s="26"/>
      <c r="I11" s="26">
        <v>3</v>
      </c>
      <c r="J11" s="26">
        <v>5</v>
      </c>
      <c r="K11" s="26">
        <v>3</v>
      </c>
      <c r="L11" s="26">
        <v>3</v>
      </c>
      <c r="M11" s="26">
        <v>4</v>
      </c>
      <c r="N11" s="26">
        <v>4</v>
      </c>
      <c r="O11" s="26">
        <v>3</v>
      </c>
      <c r="P11" s="26">
        <v>4</v>
      </c>
      <c r="Q11" s="26">
        <v>3</v>
      </c>
      <c r="R11" s="26">
        <v>4</v>
      </c>
      <c r="S11" s="28">
        <f t="shared" si="0"/>
        <v>37.8</v>
      </c>
      <c r="T11" s="26">
        <v>4</v>
      </c>
      <c r="U11" s="26">
        <v>4</v>
      </c>
      <c r="V11" s="26">
        <v>4</v>
      </c>
      <c r="W11" s="26">
        <v>4</v>
      </c>
      <c r="X11" s="26">
        <v>4</v>
      </c>
      <c r="Y11" s="26">
        <v>4</v>
      </c>
      <c r="Z11" s="28">
        <f t="shared" si="1"/>
        <v>30</v>
      </c>
      <c r="AA11" s="26">
        <v>3</v>
      </c>
      <c r="AB11" s="26">
        <v>3</v>
      </c>
      <c r="AC11" s="26">
        <v>3</v>
      </c>
      <c r="AD11" s="28">
        <f t="shared" si="2"/>
        <v>7.5</v>
      </c>
      <c r="AE11" s="26">
        <v>4</v>
      </c>
      <c r="AF11" s="26">
        <v>4</v>
      </c>
      <c r="AG11" s="26">
        <v>4</v>
      </c>
      <c r="AH11" s="28">
        <f t="shared" si="3"/>
        <v>10</v>
      </c>
      <c r="AI11" s="26">
        <v>4</v>
      </c>
      <c r="AJ11" s="26">
        <v>3</v>
      </c>
      <c r="AK11" s="28">
        <f t="shared" si="4"/>
        <v>4.5</v>
      </c>
      <c r="AL11" s="28">
        <f t="shared" si="5"/>
        <v>89.8</v>
      </c>
      <c r="AM11" s="26"/>
      <c r="AN11" s="25" t="str">
        <f t="shared" si="6"/>
        <v>否</v>
      </c>
      <c r="AO11" s="25" t="str">
        <f t="shared" si="7"/>
        <v>合格</v>
      </c>
      <c r="AP11" s="25" t="str">
        <f t="shared" si="8"/>
        <v>合格</v>
      </c>
      <c r="AQ11" s="25" t="str">
        <f t="shared" si="9"/>
        <v>合格</v>
      </c>
      <c r="AR11" s="25" t="str">
        <f t="shared" si="10"/>
        <v>合格</v>
      </c>
      <c r="AS11" s="25" t="str">
        <f t="shared" si="11"/>
        <v>合格</v>
      </c>
      <c r="AT11" s="25" t="str">
        <f t="shared" si="12"/>
        <v>生产可用</v>
      </c>
      <c r="AU11" s="25"/>
      <c r="AV11" s="29"/>
      <c r="AW11" s="30" t="s">
        <v>482</v>
      </c>
    </row>
    <row r="12" ht="122.7" spans="1:49">
      <c r="A12" s="25" t="s">
        <v>484</v>
      </c>
      <c r="B12" s="26" t="s">
        <v>136</v>
      </c>
      <c r="C12" s="26" t="s">
        <v>53</v>
      </c>
      <c r="D12" s="26" t="s">
        <v>477</v>
      </c>
      <c r="E12" s="27">
        <v>2.5</v>
      </c>
      <c r="F12" s="26" t="s">
        <v>469</v>
      </c>
      <c r="G12" s="26"/>
      <c r="H12" s="26"/>
      <c r="I12" s="26">
        <v>5</v>
      </c>
      <c r="J12" s="26">
        <v>5</v>
      </c>
      <c r="K12" s="26">
        <v>4</v>
      </c>
      <c r="L12" s="26">
        <v>4</v>
      </c>
      <c r="M12" s="26">
        <v>4</v>
      </c>
      <c r="N12" s="26">
        <v>4</v>
      </c>
      <c r="O12" s="26">
        <v>4</v>
      </c>
      <c r="P12" s="26">
        <v>4</v>
      </c>
      <c r="Q12" s="26">
        <v>4</v>
      </c>
      <c r="R12" s="26">
        <v>2</v>
      </c>
      <c r="S12" s="28">
        <f t="shared" si="0"/>
        <v>43.2</v>
      </c>
      <c r="T12" s="26">
        <v>4</v>
      </c>
      <c r="U12" s="26">
        <v>2</v>
      </c>
      <c r="V12" s="26">
        <v>4</v>
      </c>
      <c r="W12" s="26">
        <v>4</v>
      </c>
      <c r="X12" s="26">
        <v>4</v>
      </c>
      <c r="Y12" s="26">
        <v>4</v>
      </c>
      <c r="Z12" s="28">
        <f t="shared" si="1"/>
        <v>27</v>
      </c>
      <c r="AA12" s="26">
        <v>0</v>
      </c>
      <c r="AB12" s="26">
        <v>4</v>
      </c>
      <c r="AC12" s="26">
        <v>4</v>
      </c>
      <c r="AD12" s="28">
        <f t="shared" si="2"/>
        <v>6</v>
      </c>
      <c r="AE12" s="26">
        <v>4</v>
      </c>
      <c r="AF12" s="26">
        <v>4</v>
      </c>
      <c r="AG12" s="26">
        <v>4</v>
      </c>
      <c r="AH12" s="28">
        <f t="shared" si="3"/>
        <v>10</v>
      </c>
      <c r="AI12" s="26">
        <v>4</v>
      </c>
      <c r="AJ12" s="26">
        <v>3</v>
      </c>
      <c r="AK12" s="28">
        <f t="shared" si="4"/>
        <v>4.5</v>
      </c>
      <c r="AL12" s="28">
        <f t="shared" si="5"/>
        <v>90.7</v>
      </c>
      <c r="AM12" s="26"/>
      <c r="AN12" s="25" t="str">
        <f t="shared" si="6"/>
        <v>否</v>
      </c>
      <c r="AO12" s="25" t="str">
        <f t="shared" si="7"/>
        <v>合格</v>
      </c>
      <c r="AP12" s="25" t="str">
        <f t="shared" si="8"/>
        <v>合格</v>
      </c>
      <c r="AQ12" s="25" t="str">
        <f t="shared" si="9"/>
        <v>临界</v>
      </c>
      <c r="AR12" s="25" t="str">
        <f t="shared" si="10"/>
        <v>合格</v>
      </c>
      <c r="AS12" s="25" t="str">
        <f t="shared" si="11"/>
        <v>合格</v>
      </c>
      <c r="AT12" s="25" t="str">
        <f t="shared" si="12"/>
        <v>待复核</v>
      </c>
      <c r="AU12" s="25"/>
      <c r="AV12" s="29"/>
      <c r="AW12" s="30"/>
    </row>
    <row r="13" ht="136.2" spans="1:49">
      <c r="A13" s="25" t="s">
        <v>485</v>
      </c>
      <c r="B13" s="26" t="s">
        <v>136</v>
      </c>
      <c r="C13" s="26" t="s">
        <v>53</v>
      </c>
      <c r="D13" s="26" t="s">
        <v>477</v>
      </c>
      <c r="E13" s="27">
        <v>2.5</v>
      </c>
      <c r="F13" s="26" t="s">
        <v>471</v>
      </c>
      <c r="G13" s="26"/>
      <c r="H13" s="26"/>
      <c r="I13" s="26">
        <v>5</v>
      </c>
      <c r="J13" s="26">
        <v>5</v>
      </c>
      <c r="K13" s="26">
        <v>4</v>
      </c>
      <c r="L13" s="26">
        <v>4</v>
      </c>
      <c r="M13" s="26">
        <v>4</v>
      </c>
      <c r="N13" s="26">
        <v>4</v>
      </c>
      <c r="O13" s="26">
        <v>4</v>
      </c>
      <c r="P13" s="26">
        <v>4</v>
      </c>
      <c r="Q13" s="26">
        <v>4</v>
      </c>
      <c r="R13" s="26">
        <v>3</v>
      </c>
      <c r="S13" s="28">
        <f t="shared" si="0"/>
        <v>43.7</v>
      </c>
      <c r="T13" s="26">
        <v>4</v>
      </c>
      <c r="U13" s="26">
        <v>2</v>
      </c>
      <c r="V13" s="26">
        <v>4</v>
      </c>
      <c r="W13" s="26">
        <v>4</v>
      </c>
      <c r="X13" s="26">
        <v>4</v>
      </c>
      <c r="Y13" s="26">
        <v>4</v>
      </c>
      <c r="Z13" s="28">
        <f t="shared" si="1"/>
        <v>27</v>
      </c>
      <c r="AA13" s="26">
        <v>0</v>
      </c>
      <c r="AB13" s="26">
        <v>4</v>
      </c>
      <c r="AC13" s="26">
        <v>4</v>
      </c>
      <c r="AD13" s="28">
        <f t="shared" si="2"/>
        <v>6</v>
      </c>
      <c r="AE13" s="26">
        <v>4</v>
      </c>
      <c r="AF13" s="26">
        <v>4</v>
      </c>
      <c r="AG13" s="26">
        <v>4</v>
      </c>
      <c r="AH13" s="28">
        <f t="shared" si="3"/>
        <v>10</v>
      </c>
      <c r="AI13" s="26">
        <v>4</v>
      </c>
      <c r="AJ13" s="26">
        <v>3</v>
      </c>
      <c r="AK13" s="28">
        <f t="shared" si="4"/>
        <v>4.5</v>
      </c>
      <c r="AL13" s="28">
        <f t="shared" si="5"/>
        <v>91.2</v>
      </c>
      <c r="AM13" s="26"/>
      <c r="AN13" s="25" t="str">
        <f t="shared" si="6"/>
        <v>否</v>
      </c>
      <c r="AO13" s="25" t="str">
        <f t="shared" si="7"/>
        <v>合格</v>
      </c>
      <c r="AP13" s="25" t="str">
        <f t="shared" si="8"/>
        <v>合格</v>
      </c>
      <c r="AQ13" s="25" t="str">
        <f t="shared" si="9"/>
        <v>临界</v>
      </c>
      <c r="AR13" s="25" t="str">
        <f t="shared" si="10"/>
        <v>合格</v>
      </c>
      <c r="AS13" s="25" t="str">
        <f t="shared" si="11"/>
        <v>合格</v>
      </c>
      <c r="AT13" s="25" t="str">
        <f t="shared" si="12"/>
        <v>待复核</v>
      </c>
      <c r="AU13" s="25"/>
      <c r="AV13" s="29"/>
      <c r="AW13" s="30"/>
    </row>
    <row r="14" ht="191.85" spans="1:49">
      <c r="A14" s="25" t="s">
        <v>486</v>
      </c>
      <c r="B14" s="26" t="s">
        <v>146</v>
      </c>
      <c r="C14" s="26" t="s">
        <v>60</v>
      </c>
      <c r="D14" s="26" t="s">
        <v>467</v>
      </c>
      <c r="E14" s="27" t="s">
        <v>468</v>
      </c>
      <c r="F14" s="26" t="s">
        <v>469</v>
      </c>
      <c r="G14" s="26"/>
      <c r="H14" s="26"/>
      <c r="I14" s="26">
        <v>4</v>
      </c>
      <c r="J14" s="26">
        <v>5</v>
      </c>
      <c r="K14" s="26">
        <v>5</v>
      </c>
      <c r="L14" s="26">
        <v>4</v>
      </c>
      <c r="M14" s="26">
        <v>4</v>
      </c>
      <c r="N14" s="26">
        <v>4</v>
      </c>
      <c r="O14" s="26">
        <v>4</v>
      </c>
      <c r="P14" s="26">
        <v>4</v>
      </c>
      <c r="Q14" s="26">
        <v>4</v>
      </c>
      <c r="R14" s="26">
        <v>4</v>
      </c>
      <c r="S14" s="28">
        <f t="shared" si="0"/>
        <v>44.2</v>
      </c>
      <c r="T14" s="26">
        <v>4</v>
      </c>
      <c r="U14" s="26">
        <v>4</v>
      </c>
      <c r="V14" s="26">
        <v>4</v>
      </c>
      <c r="W14" s="26">
        <v>4</v>
      </c>
      <c r="X14" s="26">
        <v>4</v>
      </c>
      <c r="Y14" s="26">
        <v>4</v>
      </c>
      <c r="Z14" s="28">
        <f t="shared" si="1"/>
        <v>30</v>
      </c>
      <c r="AA14" s="26">
        <v>4</v>
      </c>
      <c r="AB14" s="26">
        <v>4</v>
      </c>
      <c r="AC14" s="26">
        <v>4</v>
      </c>
      <c r="AD14" s="28">
        <f t="shared" si="2"/>
        <v>10</v>
      </c>
      <c r="AE14" s="26">
        <v>4</v>
      </c>
      <c r="AF14" s="26">
        <v>4</v>
      </c>
      <c r="AG14" s="26">
        <v>4</v>
      </c>
      <c r="AH14" s="28">
        <f t="shared" si="3"/>
        <v>10</v>
      </c>
      <c r="AI14" s="26">
        <v>4</v>
      </c>
      <c r="AJ14" s="26">
        <v>3</v>
      </c>
      <c r="AK14" s="28">
        <f t="shared" si="4"/>
        <v>4.5</v>
      </c>
      <c r="AL14" s="28">
        <f t="shared" si="5"/>
        <v>98.7</v>
      </c>
      <c r="AM14" s="26"/>
      <c r="AN14" s="25" t="str">
        <f t="shared" si="6"/>
        <v>否</v>
      </c>
      <c r="AO14" s="25" t="str">
        <f t="shared" si="7"/>
        <v>合格</v>
      </c>
      <c r="AP14" s="25" t="str">
        <f t="shared" si="8"/>
        <v>合格</v>
      </c>
      <c r="AQ14" s="25" t="str">
        <f t="shared" si="9"/>
        <v>合格</v>
      </c>
      <c r="AR14" s="25" t="str">
        <f t="shared" si="10"/>
        <v>合格</v>
      </c>
      <c r="AS14" s="25" t="str">
        <f t="shared" si="11"/>
        <v>合格</v>
      </c>
      <c r="AT14" s="25" t="str">
        <f t="shared" si="12"/>
        <v>生产可用</v>
      </c>
      <c r="AU14" s="25"/>
      <c r="AV14" s="29"/>
      <c r="AW14" s="30"/>
    </row>
    <row r="15" ht="191.85" spans="1:49">
      <c r="A15" s="25" t="s">
        <v>487</v>
      </c>
      <c r="B15" s="26" t="s">
        <v>146</v>
      </c>
      <c r="C15" s="26" t="s">
        <v>60</v>
      </c>
      <c r="D15" s="26" t="s">
        <v>467</v>
      </c>
      <c r="E15" s="27" t="s">
        <v>468</v>
      </c>
      <c r="F15" s="26" t="s">
        <v>471</v>
      </c>
      <c r="G15" s="26"/>
      <c r="H15" s="26"/>
      <c r="I15" s="26">
        <v>4</v>
      </c>
      <c r="J15" s="26">
        <v>5</v>
      </c>
      <c r="K15" s="26">
        <v>5</v>
      </c>
      <c r="L15" s="26">
        <v>4</v>
      </c>
      <c r="M15" s="26">
        <v>4</v>
      </c>
      <c r="N15" s="26">
        <v>4</v>
      </c>
      <c r="O15" s="26">
        <v>4</v>
      </c>
      <c r="P15" s="26">
        <v>4</v>
      </c>
      <c r="Q15" s="26">
        <v>4</v>
      </c>
      <c r="R15" s="26">
        <v>4</v>
      </c>
      <c r="S15" s="28">
        <f t="shared" si="0"/>
        <v>44.2</v>
      </c>
      <c r="T15" s="26">
        <v>4</v>
      </c>
      <c r="U15" s="26">
        <v>4</v>
      </c>
      <c r="V15" s="26">
        <v>4</v>
      </c>
      <c r="W15" s="26">
        <v>4</v>
      </c>
      <c r="X15" s="26">
        <v>4</v>
      </c>
      <c r="Y15" s="26">
        <v>4</v>
      </c>
      <c r="Z15" s="28">
        <f t="shared" si="1"/>
        <v>30</v>
      </c>
      <c r="AA15" s="26">
        <v>4</v>
      </c>
      <c r="AB15" s="26">
        <v>4</v>
      </c>
      <c r="AC15" s="26">
        <v>4</v>
      </c>
      <c r="AD15" s="28">
        <f t="shared" si="2"/>
        <v>10</v>
      </c>
      <c r="AE15" s="26">
        <v>4</v>
      </c>
      <c r="AF15" s="26">
        <v>4</v>
      </c>
      <c r="AG15" s="26">
        <v>4</v>
      </c>
      <c r="AH15" s="28">
        <f t="shared" si="3"/>
        <v>10</v>
      </c>
      <c r="AI15" s="26">
        <v>4</v>
      </c>
      <c r="AJ15" s="26">
        <v>3</v>
      </c>
      <c r="AK15" s="28">
        <f t="shared" si="4"/>
        <v>4.5</v>
      </c>
      <c r="AL15" s="28">
        <f t="shared" si="5"/>
        <v>98.7</v>
      </c>
      <c r="AM15" s="26"/>
      <c r="AN15" s="25" t="str">
        <f t="shared" si="6"/>
        <v>否</v>
      </c>
      <c r="AO15" s="25" t="str">
        <f t="shared" si="7"/>
        <v>合格</v>
      </c>
      <c r="AP15" s="25" t="str">
        <f t="shared" si="8"/>
        <v>合格</v>
      </c>
      <c r="AQ15" s="25" t="str">
        <f t="shared" si="9"/>
        <v>合格</v>
      </c>
      <c r="AR15" s="25" t="str">
        <f t="shared" si="10"/>
        <v>合格</v>
      </c>
      <c r="AS15" s="25" t="str">
        <f t="shared" si="11"/>
        <v>合格</v>
      </c>
      <c r="AT15" s="25" t="str">
        <f t="shared" si="12"/>
        <v>生产可用</v>
      </c>
      <c r="AU15" s="25"/>
      <c r="AV15" s="29"/>
      <c r="AW15" s="30"/>
    </row>
    <row r="16" ht="191.6" spans="1:49">
      <c r="A16" s="25" t="s">
        <v>488</v>
      </c>
      <c r="B16" s="26" t="s">
        <v>146</v>
      </c>
      <c r="C16" s="26" t="s">
        <v>60</v>
      </c>
      <c r="D16" s="26" t="s">
        <v>473</v>
      </c>
      <c r="E16" s="27" t="s">
        <v>474</v>
      </c>
      <c r="F16" s="26" t="s">
        <v>469</v>
      </c>
      <c r="G16" s="26"/>
      <c r="H16" s="26"/>
      <c r="I16" s="26">
        <v>4</v>
      </c>
      <c r="J16" s="26">
        <v>5</v>
      </c>
      <c r="K16" s="26">
        <v>5</v>
      </c>
      <c r="L16" s="26">
        <v>3</v>
      </c>
      <c r="M16" s="26">
        <v>4</v>
      </c>
      <c r="N16" s="26">
        <v>3</v>
      </c>
      <c r="O16" s="26">
        <v>4</v>
      </c>
      <c r="P16" s="26">
        <v>4</v>
      </c>
      <c r="Q16" s="26">
        <v>4</v>
      </c>
      <c r="R16" s="26">
        <v>4</v>
      </c>
      <c r="S16" s="28">
        <f t="shared" si="0"/>
        <v>40.7</v>
      </c>
      <c r="T16" s="26">
        <v>4</v>
      </c>
      <c r="U16" s="26">
        <v>3</v>
      </c>
      <c r="V16" s="26">
        <v>4</v>
      </c>
      <c r="W16" s="26">
        <v>4</v>
      </c>
      <c r="X16" s="26">
        <v>4</v>
      </c>
      <c r="Y16" s="26">
        <v>4</v>
      </c>
      <c r="Z16" s="28">
        <f t="shared" si="1"/>
        <v>28.5</v>
      </c>
      <c r="AA16" s="26">
        <v>4</v>
      </c>
      <c r="AB16" s="26">
        <v>3</v>
      </c>
      <c r="AC16" s="26">
        <v>3</v>
      </c>
      <c r="AD16" s="28">
        <f t="shared" si="2"/>
        <v>8.5</v>
      </c>
      <c r="AE16" s="26">
        <v>4</v>
      </c>
      <c r="AF16" s="26">
        <v>4</v>
      </c>
      <c r="AG16" s="26">
        <v>4</v>
      </c>
      <c r="AH16" s="28">
        <f t="shared" si="3"/>
        <v>10</v>
      </c>
      <c r="AI16" s="26">
        <v>4</v>
      </c>
      <c r="AJ16" s="26">
        <v>3</v>
      </c>
      <c r="AK16" s="28">
        <f t="shared" si="4"/>
        <v>4.5</v>
      </c>
      <c r="AL16" s="28">
        <f t="shared" si="5"/>
        <v>92.2</v>
      </c>
      <c r="AM16" s="26"/>
      <c r="AN16" s="25" t="str">
        <f t="shared" si="6"/>
        <v>否</v>
      </c>
      <c r="AO16" s="25" t="str">
        <f t="shared" si="7"/>
        <v>合格</v>
      </c>
      <c r="AP16" s="25" t="str">
        <f t="shared" si="8"/>
        <v>合格</v>
      </c>
      <c r="AQ16" s="25" t="str">
        <f t="shared" si="9"/>
        <v>合格</v>
      </c>
      <c r="AR16" s="25" t="str">
        <f t="shared" si="10"/>
        <v>合格</v>
      </c>
      <c r="AS16" s="25" t="str">
        <f t="shared" si="11"/>
        <v>合格</v>
      </c>
      <c r="AT16" s="25" t="str">
        <f t="shared" si="12"/>
        <v>生产可用</v>
      </c>
      <c r="AU16" s="25"/>
      <c r="AV16" s="29"/>
      <c r="AW16" s="30"/>
    </row>
    <row r="17" ht="191.6" spans="1:49">
      <c r="A17" s="25" t="s">
        <v>489</v>
      </c>
      <c r="B17" s="26" t="s">
        <v>146</v>
      </c>
      <c r="C17" s="26" t="s">
        <v>60</v>
      </c>
      <c r="D17" s="26" t="s">
        <v>473</v>
      </c>
      <c r="E17" s="27" t="s">
        <v>474</v>
      </c>
      <c r="F17" s="26" t="s">
        <v>471</v>
      </c>
      <c r="G17" s="26"/>
      <c r="H17" s="26"/>
      <c r="I17" s="26">
        <v>4</v>
      </c>
      <c r="J17" s="26">
        <v>5</v>
      </c>
      <c r="K17" s="26">
        <v>5</v>
      </c>
      <c r="L17" s="26">
        <v>3</v>
      </c>
      <c r="M17" s="26">
        <v>4</v>
      </c>
      <c r="N17" s="26">
        <v>3</v>
      </c>
      <c r="O17" s="26">
        <v>4</v>
      </c>
      <c r="P17" s="26">
        <v>4</v>
      </c>
      <c r="Q17" s="26">
        <v>4</v>
      </c>
      <c r="R17" s="26">
        <v>4</v>
      </c>
      <c r="S17" s="28">
        <f t="shared" si="0"/>
        <v>40.7</v>
      </c>
      <c r="T17" s="26">
        <v>4</v>
      </c>
      <c r="U17" s="26">
        <v>3</v>
      </c>
      <c r="V17" s="26">
        <v>4</v>
      </c>
      <c r="W17" s="26">
        <v>4</v>
      </c>
      <c r="X17" s="26">
        <v>4</v>
      </c>
      <c r="Y17" s="26">
        <v>4</v>
      </c>
      <c r="Z17" s="28">
        <f t="shared" si="1"/>
        <v>28.5</v>
      </c>
      <c r="AA17" s="26">
        <v>4</v>
      </c>
      <c r="AB17" s="26">
        <v>3</v>
      </c>
      <c r="AC17" s="26">
        <v>3</v>
      </c>
      <c r="AD17" s="28">
        <f t="shared" si="2"/>
        <v>8.5</v>
      </c>
      <c r="AE17" s="26">
        <v>4</v>
      </c>
      <c r="AF17" s="26">
        <v>4</v>
      </c>
      <c r="AG17" s="26">
        <v>4</v>
      </c>
      <c r="AH17" s="28">
        <f t="shared" si="3"/>
        <v>10</v>
      </c>
      <c r="AI17" s="26">
        <v>4</v>
      </c>
      <c r="AJ17" s="26">
        <v>3</v>
      </c>
      <c r="AK17" s="28">
        <f t="shared" si="4"/>
        <v>4.5</v>
      </c>
      <c r="AL17" s="28">
        <f t="shared" si="5"/>
        <v>92.2</v>
      </c>
      <c r="AM17" s="26"/>
      <c r="AN17" s="25" t="str">
        <f t="shared" si="6"/>
        <v>否</v>
      </c>
      <c r="AO17" s="25" t="str">
        <f t="shared" si="7"/>
        <v>合格</v>
      </c>
      <c r="AP17" s="25" t="str">
        <f t="shared" si="8"/>
        <v>合格</v>
      </c>
      <c r="AQ17" s="25" t="str">
        <f t="shared" si="9"/>
        <v>合格</v>
      </c>
      <c r="AR17" s="25" t="str">
        <f t="shared" si="10"/>
        <v>合格</v>
      </c>
      <c r="AS17" s="25" t="str">
        <f t="shared" si="11"/>
        <v>合格</v>
      </c>
      <c r="AT17" s="25" t="str">
        <f t="shared" si="12"/>
        <v>生产可用</v>
      </c>
      <c r="AU17" s="25"/>
      <c r="AV17" s="29"/>
      <c r="AW17" s="30"/>
    </row>
    <row r="18" ht="149.2" spans="1:49">
      <c r="A18" s="25" t="s">
        <v>490</v>
      </c>
      <c r="B18" s="26" t="s">
        <v>146</v>
      </c>
      <c r="C18" s="26" t="s">
        <v>60</v>
      </c>
      <c r="D18" s="26" t="s">
        <v>477</v>
      </c>
      <c r="E18" s="27">
        <v>2.5</v>
      </c>
      <c r="F18" s="26" t="s">
        <v>469</v>
      </c>
      <c r="G18" s="26"/>
      <c r="H18" s="26"/>
      <c r="I18" s="26">
        <v>5</v>
      </c>
      <c r="J18" s="26">
        <v>5</v>
      </c>
      <c r="K18" s="26">
        <v>5</v>
      </c>
      <c r="L18" s="26">
        <v>4</v>
      </c>
      <c r="M18" s="26">
        <v>4</v>
      </c>
      <c r="N18" s="26">
        <v>4</v>
      </c>
      <c r="O18" s="26">
        <v>4</v>
      </c>
      <c r="P18" s="26">
        <v>4</v>
      </c>
      <c r="Q18" s="26">
        <v>4</v>
      </c>
      <c r="R18" s="26">
        <v>4</v>
      </c>
      <c r="S18" s="28">
        <f t="shared" si="0"/>
        <v>45</v>
      </c>
      <c r="T18" s="26">
        <v>4</v>
      </c>
      <c r="U18" s="26">
        <v>2</v>
      </c>
      <c r="V18" s="26">
        <v>4</v>
      </c>
      <c r="W18" s="26">
        <v>3</v>
      </c>
      <c r="X18" s="26">
        <v>4</v>
      </c>
      <c r="Y18" s="26">
        <v>4</v>
      </c>
      <c r="Z18" s="28">
        <f t="shared" si="1"/>
        <v>26</v>
      </c>
      <c r="AA18" s="26">
        <v>0</v>
      </c>
      <c r="AB18" s="26">
        <v>4</v>
      </c>
      <c r="AC18" s="26">
        <v>4</v>
      </c>
      <c r="AD18" s="28">
        <f t="shared" si="2"/>
        <v>6</v>
      </c>
      <c r="AE18" s="26">
        <v>4</v>
      </c>
      <c r="AF18" s="26">
        <v>4</v>
      </c>
      <c r="AG18" s="26">
        <v>4</v>
      </c>
      <c r="AH18" s="28">
        <f t="shared" si="3"/>
        <v>10</v>
      </c>
      <c r="AI18" s="26">
        <v>4</v>
      </c>
      <c r="AJ18" s="26">
        <v>3</v>
      </c>
      <c r="AK18" s="28">
        <f t="shared" si="4"/>
        <v>4.5</v>
      </c>
      <c r="AL18" s="28">
        <f t="shared" si="5"/>
        <v>91.5</v>
      </c>
      <c r="AM18" s="26"/>
      <c r="AN18" s="25" t="str">
        <f t="shared" si="6"/>
        <v>否</v>
      </c>
      <c r="AO18" s="25" t="str">
        <f t="shared" si="7"/>
        <v>合格</v>
      </c>
      <c r="AP18" s="25" t="str">
        <f t="shared" si="8"/>
        <v>合格</v>
      </c>
      <c r="AQ18" s="25" t="str">
        <f t="shared" si="9"/>
        <v>临界</v>
      </c>
      <c r="AR18" s="25" t="str">
        <f t="shared" si="10"/>
        <v>合格</v>
      </c>
      <c r="AS18" s="25" t="str">
        <f t="shared" si="11"/>
        <v>合格</v>
      </c>
      <c r="AT18" s="25" t="str">
        <f t="shared" si="12"/>
        <v>待复核</v>
      </c>
      <c r="AU18" s="25"/>
      <c r="AV18" s="29"/>
      <c r="AW18" s="30"/>
    </row>
    <row r="19" ht="203.6" spans="1:49">
      <c r="A19" s="25" t="s">
        <v>491</v>
      </c>
      <c r="B19" s="26" t="s">
        <v>146</v>
      </c>
      <c r="C19" s="26" t="s">
        <v>60</v>
      </c>
      <c r="D19" s="26" t="s">
        <v>477</v>
      </c>
      <c r="E19" s="27">
        <v>2.5</v>
      </c>
      <c r="F19" s="26" t="s">
        <v>471</v>
      </c>
      <c r="G19" s="26"/>
      <c r="H19" s="26"/>
      <c r="I19" s="26">
        <v>5</v>
      </c>
      <c r="J19" s="26">
        <v>5</v>
      </c>
      <c r="K19" s="26">
        <v>5</v>
      </c>
      <c r="L19" s="26">
        <v>4</v>
      </c>
      <c r="M19" s="26">
        <v>4</v>
      </c>
      <c r="N19" s="26">
        <v>4</v>
      </c>
      <c r="O19" s="26">
        <v>4</v>
      </c>
      <c r="P19" s="26">
        <v>4</v>
      </c>
      <c r="Q19" s="26">
        <v>4</v>
      </c>
      <c r="R19" s="26">
        <v>4</v>
      </c>
      <c r="S19" s="28">
        <f t="shared" si="0"/>
        <v>45</v>
      </c>
      <c r="T19" s="26">
        <v>4</v>
      </c>
      <c r="U19" s="26">
        <v>2</v>
      </c>
      <c r="V19" s="26">
        <v>4</v>
      </c>
      <c r="W19" s="26">
        <v>3</v>
      </c>
      <c r="X19" s="26">
        <v>4</v>
      </c>
      <c r="Y19" s="26">
        <v>4</v>
      </c>
      <c r="Z19" s="28">
        <f t="shared" si="1"/>
        <v>26</v>
      </c>
      <c r="AA19" s="26">
        <v>0</v>
      </c>
      <c r="AB19" s="26">
        <v>4</v>
      </c>
      <c r="AC19" s="26">
        <v>4</v>
      </c>
      <c r="AD19" s="28">
        <f t="shared" si="2"/>
        <v>6</v>
      </c>
      <c r="AE19" s="26">
        <v>4</v>
      </c>
      <c r="AF19" s="26">
        <v>4</v>
      </c>
      <c r="AG19" s="26">
        <v>4</v>
      </c>
      <c r="AH19" s="28">
        <f t="shared" si="3"/>
        <v>10</v>
      </c>
      <c r="AI19" s="26">
        <v>4</v>
      </c>
      <c r="AJ19" s="26">
        <v>3</v>
      </c>
      <c r="AK19" s="28">
        <f t="shared" si="4"/>
        <v>4.5</v>
      </c>
      <c r="AL19" s="28">
        <f t="shared" si="5"/>
        <v>91.5</v>
      </c>
      <c r="AM19" s="26"/>
      <c r="AN19" s="25" t="str">
        <f t="shared" si="6"/>
        <v>否</v>
      </c>
      <c r="AO19" s="25" t="str">
        <f t="shared" si="7"/>
        <v>合格</v>
      </c>
      <c r="AP19" s="25" t="str">
        <f t="shared" si="8"/>
        <v>合格</v>
      </c>
      <c r="AQ19" s="25" t="str">
        <f t="shared" si="9"/>
        <v>临界</v>
      </c>
      <c r="AR19" s="25" t="str">
        <f t="shared" si="10"/>
        <v>合格</v>
      </c>
      <c r="AS19" s="25" t="str">
        <f t="shared" si="11"/>
        <v>合格</v>
      </c>
      <c r="AT19" s="25" t="str">
        <f t="shared" si="12"/>
        <v>待复核</v>
      </c>
      <c r="AU19" s="25"/>
      <c r="AV19" s="29"/>
      <c r="AW19" s="30"/>
    </row>
    <row r="20" ht="190.35" spans="1:49">
      <c r="A20" s="25" t="s">
        <v>492</v>
      </c>
      <c r="B20" s="26" t="s">
        <v>155</v>
      </c>
      <c r="C20" s="26" t="s">
        <v>67</v>
      </c>
      <c r="D20" s="26" t="s">
        <v>467</v>
      </c>
      <c r="E20" s="27" t="s">
        <v>468</v>
      </c>
      <c r="F20" s="26" t="s">
        <v>469</v>
      </c>
      <c r="G20" s="26"/>
      <c r="H20" s="26"/>
      <c r="I20" s="26">
        <v>5</v>
      </c>
      <c r="J20" s="26">
        <v>5</v>
      </c>
      <c r="K20" s="26">
        <v>4</v>
      </c>
      <c r="L20" s="26">
        <v>4</v>
      </c>
      <c r="M20" s="26">
        <v>4</v>
      </c>
      <c r="N20" s="26">
        <v>4</v>
      </c>
      <c r="O20" s="26">
        <v>4</v>
      </c>
      <c r="P20" s="26">
        <v>4</v>
      </c>
      <c r="Q20" s="26">
        <v>4</v>
      </c>
      <c r="R20" s="26">
        <v>4</v>
      </c>
      <c r="S20" s="28">
        <f t="shared" si="0"/>
        <v>44.2</v>
      </c>
      <c r="T20" s="26">
        <v>4</v>
      </c>
      <c r="U20" s="26">
        <v>4</v>
      </c>
      <c r="V20" s="26">
        <v>4</v>
      </c>
      <c r="W20" s="26">
        <v>4</v>
      </c>
      <c r="X20" s="26">
        <v>4</v>
      </c>
      <c r="Y20" s="26">
        <v>4</v>
      </c>
      <c r="Z20" s="28">
        <f t="shared" si="1"/>
        <v>30</v>
      </c>
      <c r="AA20" s="26">
        <v>4</v>
      </c>
      <c r="AB20" s="26">
        <v>4</v>
      </c>
      <c r="AC20" s="26">
        <v>4</v>
      </c>
      <c r="AD20" s="28">
        <f t="shared" si="2"/>
        <v>10</v>
      </c>
      <c r="AE20" s="26">
        <v>4</v>
      </c>
      <c r="AF20" s="26">
        <v>4</v>
      </c>
      <c r="AG20" s="26">
        <v>4</v>
      </c>
      <c r="AH20" s="28">
        <f t="shared" si="3"/>
        <v>10</v>
      </c>
      <c r="AI20" s="26">
        <v>4</v>
      </c>
      <c r="AJ20" s="26">
        <v>3</v>
      </c>
      <c r="AK20" s="28">
        <f t="shared" si="4"/>
        <v>4.5</v>
      </c>
      <c r="AL20" s="28">
        <f t="shared" si="5"/>
        <v>98.7</v>
      </c>
      <c r="AM20" s="26"/>
      <c r="AN20" s="25" t="str">
        <f t="shared" si="6"/>
        <v>否</v>
      </c>
      <c r="AO20" s="25" t="str">
        <f t="shared" si="7"/>
        <v>合格</v>
      </c>
      <c r="AP20" s="25" t="str">
        <f t="shared" si="8"/>
        <v>合格</v>
      </c>
      <c r="AQ20" s="25" t="str">
        <f t="shared" si="9"/>
        <v>合格</v>
      </c>
      <c r="AR20" s="25" t="str">
        <f t="shared" si="10"/>
        <v>合格</v>
      </c>
      <c r="AS20" s="25" t="str">
        <f t="shared" si="11"/>
        <v>合格</v>
      </c>
      <c r="AT20" s="25" t="str">
        <f t="shared" si="12"/>
        <v>生产可用</v>
      </c>
      <c r="AU20" s="25"/>
      <c r="AV20" s="29"/>
      <c r="AW20" s="30"/>
    </row>
    <row r="21" ht="190.35" spans="1:49">
      <c r="A21" s="25" t="s">
        <v>493</v>
      </c>
      <c r="B21" s="26" t="s">
        <v>155</v>
      </c>
      <c r="C21" s="26" t="s">
        <v>67</v>
      </c>
      <c r="D21" s="26" t="s">
        <v>467</v>
      </c>
      <c r="E21" s="27" t="s">
        <v>468</v>
      </c>
      <c r="F21" s="26" t="s">
        <v>471</v>
      </c>
      <c r="G21" s="26"/>
      <c r="H21" s="26"/>
      <c r="I21" s="26">
        <v>5</v>
      </c>
      <c r="J21" s="26">
        <v>5</v>
      </c>
      <c r="K21" s="26">
        <v>4</v>
      </c>
      <c r="L21" s="26">
        <v>4</v>
      </c>
      <c r="M21" s="26">
        <v>4</v>
      </c>
      <c r="N21" s="26">
        <v>4</v>
      </c>
      <c r="O21" s="26">
        <v>4</v>
      </c>
      <c r="P21" s="26">
        <v>4</v>
      </c>
      <c r="Q21" s="26">
        <v>4</v>
      </c>
      <c r="R21" s="26">
        <v>4</v>
      </c>
      <c r="S21" s="28">
        <f t="shared" si="0"/>
        <v>44.2</v>
      </c>
      <c r="T21" s="26">
        <v>4</v>
      </c>
      <c r="U21" s="26">
        <v>4</v>
      </c>
      <c r="V21" s="26">
        <v>4</v>
      </c>
      <c r="W21" s="26">
        <v>4</v>
      </c>
      <c r="X21" s="26">
        <v>4</v>
      </c>
      <c r="Y21" s="26">
        <v>4</v>
      </c>
      <c r="Z21" s="28">
        <f t="shared" si="1"/>
        <v>30</v>
      </c>
      <c r="AA21" s="26">
        <v>4</v>
      </c>
      <c r="AB21" s="26">
        <v>4</v>
      </c>
      <c r="AC21" s="26">
        <v>4</v>
      </c>
      <c r="AD21" s="28">
        <f t="shared" si="2"/>
        <v>10</v>
      </c>
      <c r="AE21" s="26">
        <v>4</v>
      </c>
      <c r="AF21" s="26">
        <v>4</v>
      </c>
      <c r="AG21" s="26">
        <v>4</v>
      </c>
      <c r="AH21" s="28">
        <f t="shared" si="3"/>
        <v>10</v>
      </c>
      <c r="AI21" s="26">
        <v>4</v>
      </c>
      <c r="AJ21" s="26">
        <v>3</v>
      </c>
      <c r="AK21" s="28">
        <f t="shared" si="4"/>
        <v>4.5</v>
      </c>
      <c r="AL21" s="28">
        <f t="shared" si="5"/>
        <v>98.7</v>
      </c>
      <c r="AM21" s="26"/>
      <c r="AN21" s="25" t="str">
        <f t="shared" si="6"/>
        <v>否</v>
      </c>
      <c r="AO21" s="25" t="str">
        <f t="shared" si="7"/>
        <v>合格</v>
      </c>
      <c r="AP21" s="25" t="str">
        <f t="shared" si="8"/>
        <v>合格</v>
      </c>
      <c r="AQ21" s="25" t="str">
        <f t="shared" si="9"/>
        <v>合格</v>
      </c>
      <c r="AR21" s="25" t="str">
        <f t="shared" si="10"/>
        <v>合格</v>
      </c>
      <c r="AS21" s="25" t="str">
        <f t="shared" si="11"/>
        <v>合格</v>
      </c>
      <c r="AT21" s="25" t="str">
        <f t="shared" si="12"/>
        <v>生产可用</v>
      </c>
      <c r="AU21" s="25"/>
      <c r="AV21" s="29"/>
      <c r="AW21" s="30"/>
    </row>
    <row r="22" ht="190.2" spans="1:49">
      <c r="A22" s="25" t="s">
        <v>494</v>
      </c>
      <c r="B22" s="26" t="s">
        <v>155</v>
      </c>
      <c r="C22" s="26" t="s">
        <v>67</v>
      </c>
      <c r="D22" s="26" t="s">
        <v>473</v>
      </c>
      <c r="E22" s="27" t="s">
        <v>474</v>
      </c>
      <c r="F22" s="26" t="s">
        <v>469</v>
      </c>
      <c r="G22" s="26"/>
      <c r="H22" s="26"/>
      <c r="I22" s="26">
        <v>3</v>
      </c>
      <c r="J22" s="26">
        <v>3</v>
      </c>
      <c r="K22" s="26">
        <v>2</v>
      </c>
      <c r="L22" s="26">
        <v>2</v>
      </c>
      <c r="M22" s="26">
        <v>4</v>
      </c>
      <c r="N22" s="26">
        <v>4</v>
      </c>
      <c r="O22" s="26">
        <v>2</v>
      </c>
      <c r="P22" s="26">
        <v>2</v>
      </c>
      <c r="Q22" s="26">
        <v>3</v>
      </c>
      <c r="R22" s="26">
        <v>2</v>
      </c>
      <c r="S22" s="28">
        <f t="shared" si="0"/>
        <v>29.4</v>
      </c>
      <c r="T22" s="26">
        <v>4</v>
      </c>
      <c r="U22" s="26">
        <v>4</v>
      </c>
      <c r="V22" s="26">
        <v>4</v>
      </c>
      <c r="W22" s="26">
        <v>4</v>
      </c>
      <c r="X22" s="26">
        <v>4</v>
      </c>
      <c r="Y22" s="26">
        <v>4</v>
      </c>
      <c r="Z22" s="28">
        <f t="shared" si="1"/>
        <v>30</v>
      </c>
      <c r="AA22" s="26">
        <v>3</v>
      </c>
      <c r="AB22" s="26">
        <v>2</v>
      </c>
      <c r="AC22" s="26">
        <v>3</v>
      </c>
      <c r="AD22" s="28">
        <f t="shared" si="2"/>
        <v>6.75</v>
      </c>
      <c r="AE22" s="26">
        <v>4</v>
      </c>
      <c r="AF22" s="26">
        <v>4</v>
      </c>
      <c r="AG22" s="26">
        <v>4</v>
      </c>
      <c r="AH22" s="28">
        <f t="shared" si="3"/>
        <v>10</v>
      </c>
      <c r="AI22" s="26">
        <v>4</v>
      </c>
      <c r="AJ22" s="26">
        <v>3</v>
      </c>
      <c r="AK22" s="28">
        <f t="shared" si="4"/>
        <v>4.5</v>
      </c>
      <c r="AL22" s="28">
        <f t="shared" si="5"/>
        <v>80.65</v>
      </c>
      <c r="AM22" s="26"/>
      <c r="AN22" s="25" t="str">
        <f t="shared" si="6"/>
        <v>否</v>
      </c>
      <c r="AO22" s="25" t="str">
        <f t="shared" si="7"/>
        <v>不合格</v>
      </c>
      <c r="AP22" s="25" t="str">
        <f t="shared" si="8"/>
        <v>合格</v>
      </c>
      <c r="AQ22" s="25" t="str">
        <f t="shared" si="9"/>
        <v>临界</v>
      </c>
      <c r="AR22" s="25" t="str">
        <f t="shared" si="10"/>
        <v>合格</v>
      </c>
      <c r="AS22" s="25" t="str">
        <f t="shared" si="11"/>
        <v>合格</v>
      </c>
      <c r="AT22" s="25" t="str">
        <f t="shared" si="12"/>
        <v>不可用</v>
      </c>
      <c r="AU22" s="25"/>
      <c r="AV22" s="29"/>
      <c r="AW22" s="30"/>
    </row>
    <row r="23" ht="190.2" spans="1:49">
      <c r="A23" s="25" t="s">
        <v>495</v>
      </c>
      <c r="B23" s="26" t="s">
        <v>155</v>
      </c>
      <c r="C23" s="26" t="s">
        <v>67</v>
      </c>
      <c r="D23" s="26" t="s">
        <v>473</v>
      </c>
      <c r="E23" s="27" t="s">
        <v>474</v>
      </c>
      <c r="F23" s="26" t="s">
        <v>471</v>
      </c>
      <c r="G23" s="26"/>
      <c r="H23" s="26"/>
      <c r="I23" s="26">
        <v>3</v>
      </c>
      <c r="J23" s="26">
        <v>3</v>
      </c>
      <c r="K23" s="26">
        <v>2</v>
      </c>
      <c r="L23" s="26">
        <v>3</v>
      </c>
      <c r="M23" s="26">
        <v>4</v>
      </c>
      <c r="N23" s="26">
        <v>4</v>
      </c>
      <c r="O23" s="26">
        <v>2</v>
      </c>
      <c r="P23" s="26">
        <v>2</v>
      </c>
      <c r="Q23" s="26">
        <v>3</v>
      </c>
      <c r="R23" s="26">
        <v>3</v>
      </c>
      <c r="S23" s="28">
        <f t="shared" si="0"/>
        <v>31.9</v>
      </c>
      <c r="T23" s="26">
        <v>4</v>
      </c>
      <c r="U23" s="26">
        <v>4</v>
      </c>
      <c r="V23" s="26">
        <v>4</v>
      </c>
      <c r="W23" s="26">
        <v>4</v>
      </c>
      <c r="X23" s="26">
        <v>4</v>
      </c>
      <c r="Y23" s="26">
        <v>4</v>
      </c>
      <c r="Z23" s="28">
        <f t="shared" si="1"/>
        <v>30</v>
      </c>
      <c r="AA23" s="26">
        <v>3</v>
      </c>
      <c r="AB23" s="26">
        <v>2</v>
      </c>
      <c r="AC23" s="26">
        <v>3</v>
      </c>
      <c r="AD23" s="28">
        <f t="shared" si="2"/>
        <v>6.75</v>
      </c>
      <c r="AE23" s="26">
        <v>4</v>
      </c>
      <c r="AF23" s="26">
        <v>4</v>
      </c>
      <c r="AG23" s="26">
        <v>4</v>
      </c>
      <c r="AH23" s="28">
        <f t="shared" si="3"/>
        <v>10</v>
      </c>
      <c r="AI23" s="26">
        <v>4</v>
      </c>
      <c r="AJ23" s="26">
        <v>3</v>
      </c>
      <c r="AK23" s="28">
        <f t="shared" si="4"/>
        <v>4.5</v>
      </c>
      <c r="AL23" s="28">
        <f t="shared" si="5"/>
        <v>83.15</v>
      </c>
      <c r="AM23" s="26"/>
      <c r="AN23" s="25" t="str">
        <f t="shared" si="6"/>
        <v>否</v>
      </c>
      <c r="AO23" s="25" t="str">
        <f t="shared" si="7"/>
        <v>临界</v>
      </c>
      <c r="AP23" s="25" t="str">
        <f t="shared" si="8"/>
        <v>合格</v>
      </c>
      <c r="AQ23" s="25" t="str">
        <f t="shared" si="9"/>
        <v>临界</v>
      </c>
      <c r="AR23" s="25" t="str">
        <f t="shared" si="10"/>
        <v>合格</v>
      </c>
      <c r="AS23" s="25" t="str">
        <f t="shared" si="11"/>
        <v>合格</v>
      </c>
      <c r="AT23" s="25" t="str">
        <f t="shared" si="12"/>
        <v>待复核</v>
      </c>
      <c r="AU23" s="25"/>
      <c r="AV23" s="29"/>
      <c r="AW23" s="30"/>
    </row>
    <row r="24" ht="203.6" spans="1:49">
      <c r="A24" s="25" t="s">
        <v>496</v>
      </c>
      <c r="B24" s="26" t="s">
        <v>155</v>
      </c>
      <c r="C24" s="26" t="s">
        <v>67</v>
      </c>
      <c r="D24" s="26" t="s">
        <v>477</v>
      </c>
      <c r="E24" s="27">
        <v>2.5</v>
      </c>
      <c r="F24" s="26" t="s">
        <v>469</v>
      </c>
      <c r="G24" s="26"/>
      <c r="H24" s="26"/>
      <c r="I24" s="26">
        <v>5</v>
      </c>
      <c r="J24" s="26">
        <v>4</v>
      </c>
      <c r="K24" s="26">
        <v>4</v>
      </c>
      <c r="L24" s="26">
        <v>4</v>
      </c>
      <c r="M24" s="26">
        <v>4</v>
      </c>
      <c r="N24" s="26">
        <v>4</v>
      </c>
      <c r="O24" s="26">
        <v>3</v>
      </c>
      <c r="P24" s="26">
        <v>4</v>
      </c>
      <c r="Q24" s="26">
        <v>4</v>
      </c>
      <c r="R24" s="26">
        <v>4</v>
      </c>
      <c r="S24" s="28">
        <f t="shared" si="0"/>
        <v>42.4</v>
      </c>
      <c r="T24" s="26">
        <v>4</v>
      </c>
      <c r="U24" s="26">
        <v>4</v>
      </c>
      <c r="V24" s="26">
        <v>4</v>
      </c>
      <c r="W24" s="26">
        <v>4</v>
      </c>
      <c r="X24" s="26">
        <v>4</v>
      </c>
      <c r="Y24" s="26">
        <v>3</v>
      </c>
      <c r="Z24" s="28">
        <f t="shared" si="1"/>
        <v>29.25</v>
      </c>
      <c r="AA24" s="26">
        <v>0</v>
      </c>
      <c r="AB24" s="26">
        <v>4</v>
      </c>
      <c r="AC24" s="26">
        <v>4</v>
      </c>
      <c r="AD24" s="28">
        <f t="shared" si="2"/>
        <v>6</v>
      </c>
      <c r="AE24" s="26">
        <v>4</v>
      </c>
      <c r="AF24" s="26">
        <v>4</v>
      </c>
      <c r="AG24" s="26">
        <v>4</v>
      </c>
      <c r="AH24" s="28">
        <f t="shared" si="3"/>
        <v>10</v>
      </c>
      <c r="AI24" s="26">
        <v>4</v>
      </c>
      <c r="AJ24" s="26">
        <v>3</v>
      </c>
      <c r="AK24" s="28">
        <f t="shared" si="4"/>
        <v>4.5</v>
      </c>
      <c r="AL24" s="28">
        <f t="shared" si="5"/>
        <v>92.15</v>
      </c>
      <c r="AM24" s="26"/>
      <c r="AN24" s="25" t="str">
        <f t="shared" si="6"/>
        <v>否</v>
      </c>
      <c r="AO24" s="25" t="str">
        <f t="shared" si="7"/>
        <v>合格</v>
      </c>
      <c r="AP24" s="25" t="str">
        <f t="shared" si="8"/>
        <v>合格</v>
      </c>
      <c r="AQ24" s="25" t="str">
        <f t="shared" si="9"/>
        <v>临界</v>
      </c>
      <c r="AR24" s="25" t="str">
        <f t="shared" si="10"/>
        <v>合格</v>
      </c>
      <c r="AS24" s="25" t="str">
        <f t="shared" si="11"/>
        <v>合格</v>
      </c>
      <c r="AT24" s="25" t="str">
        <f t="shared" si="12"/>
        <v>待复核</v>
      </c>
      <c r="AU24" s="25"/>
      <c r="AV24" s="29"/>
      <c r="AW24" s="30"/>
    </row>
    <row r="25" ht="136.2" spans="1:49">
      <c r="A25" s="25" t="s">
        <v>497</v>
      </c>
      <c r="B25" s="26" t="s">
        <v>155</v>
      </c>
      <c r="C25" s="26" t="s">
        <v>67</v>
      </c>
      <c r="D25" s="26" t="s">
        <v>477</v>
      </c>
      <c r="E25" s="27">
        <v>2.5</v>
      </c>
      <c r="F25" s="26" t="s">
        <v>471</v>
      </c>
      <c r="G25" s="26"/>
      <c r="H25" s="26"/>
      <c r="I25" s="26">
        <v>5</v>
      </c>
      <c r="J25" s="26">
        <v>4</v>
      </c>
      <c r="K25" s="26">
        <v>4</v>
      </c>
      <c r="L25" s="26">
        <v>4</v>
      </c>
      <c r="M25" s="26">
        <v>4</v>
      </c>
      <c r="N25" s="26">
        <v>4</v>
      </c>
      <c r="O25" s="26">
        <v>3</v>
      </c>
      <c r="P25" s="26">
        <v>4</v>
      </c>
      <c r="Q25" s="26">
        <v>4</v>
      </c>
      <c r="R25" s="26">
        <v>4</v>
      </c>
      <c r="S25" s="28">
        <f t="shared" si="0"/>
        <v>42.4</v>
      </c>
      <c r="T25" s="26">
        <v>4</v>
      </c>
      <c r="U25" s="26">
        <v>4</v>
      </c>
      <c r="V25" s="26">
        <v>4</v>
      </c>
      <c r="W25" s="26">
        <v>4</v>
      </c>
      <c r="X25" s="26">
        <v>4</v>
      </c>
      <c r="Y25" s="26">
        <v>4</v>
      </c>
      <c r="Z25" s="28">
        <f t="shared" si="1"/>
        <v>30</v>
      </c>
      <c r="AA25" s="26">
        <v>0</v>
      </c>
      <c r="AB25" s="26">
        <v>4</v>
      </c>
      <c r="AC25" s="26">
        <v>4</v>
      </c>
      <c r="AD25" s="28">
        <f t="shared" si="2"/>
        <v>6</v>
      </c>
      <c r="AE25" s="26">
        <v>4</v>
      </c>
      <c r="AF25" s="26">
        <v>4</v>
      </c>
      <c r="AG25" s="26">
        <v>4</v>
      </c>
      <c r="AH25" s="28">
        <f t="shared" si="3"/>
        <v>10</v>
      </c>
      <c r="AI25" s="26">
        <v>4</v>
      </c>
      <c r="AJ25" s="26">
        <v>3</v>
      </c>
      <c r="AK25" s="28">
        <f t="shared" si="4"/>
        <v>4.5</v>
      </c>
      <c r="AL25" s="28">
        <f t="shared" si="5"/>
        <v>92.9</v>
      </c>
      <c r="AM25" s="26"/>
      <c r="AN25" s="25" t="str">
        <f t="shared" si="6"/>
        <v>否</v>
      </c>
      <c r="AO25" s="25" t="str">
        <f t="shared" si="7"/>
        <v>合格</v>
      </c>
      <c r="AP25" s="25" t="str">
        <f t="shared" si="8"/>
        <v>合格</v>
      </c>
      <c r="AQ25" s="25" t="str">
        <f t="shared" si="9"/>
        <v>临界</v>
      </c>
      <c r="AR25" s="25" t="str">
        <f t="shared" si="10"/>
        <v>合格</v>
      </c>
      <c r="AS25" s="25" t="str">
        <f t="shared" si="11"/>
        <v>合格</v>
      </c>
      <c r="AT25" s="25" t="str">
        <f t="shared" si="12"/>
        <v>待复核</v>
      </c>
      <c r="AU25" s="25"/>
      <c r="AV25" s="29"/>
      <c r="AW25" s="30"/>
    </row>
    <row r="26" ht="244.05" spans="1:49">
      <c r="A26" s="25" t="s">
        <v>498</v>
      </c>
      <c r="B26" s="26" t="s">
        <v>164</v>
      </c>
      <c r="C26" s="26" t="s">
        <v>74</v>
      </c>
      <c r="D26" s="26" t="s">
        <v>467</v>
      </c>
      <c r="E26" s="27" t="s">
        <v>468</v>
      </c>
      <c r="F26" s="26" t="s">
        <v>469</v>
      </c>
      <c r="G26" s="26"/>
      <c r="H26" s="26"/>
      <c r="I26" s="26">
        <v>5</v>
      </c>
      <c r="J26" s="26">
        <v>5</v>
      </c>
      <c r="K26" s="26">
        <v>5</v>
      </c>
      <c r="L26" s="26">
        <v>4</v>
      </c>
      <c r="M26" s="26">
        <v>4</v>
      </c>
      <c r="N26" s="26">
        <v>4</v>
      </c>
      <c r="O26" s="26">
        <v>4</v>
      </c>
      <c r="P26" s="26">
        <v>4</v>
      </c>
      <c r="Q26" s="26">
        <v>4</v>
      </c>
      <c r="R26" s="26">
        <v>4</v>
      </c>
      <c r="S26" s="28">
        <f t="shared" si="0"/>
        <v>45</v>
      </c>
      <c r="T26" s="26">
        <v>4</v>
      </c>
      <c r="U26" s="26">
        <v>2</v>
      </c>
      <c r="V26" s="26">
        <v>4</v>
      </c>
      <c r="W26" s="26">
        <v>3</v>
      </c>
      <c r="X26" s="26">
        <v>4</v>
      </c>
      <c r="Y26" s="26">
        <v>4</v>
      </c>
      <c r="Z26" s="28">
        <f t="shared" si="1"/>
        <v>26</v>
      </c>
      <c r="AA26" s="26">
        <v>4</v>
      </c>
      <c r="AB26" s="26">
        <v>4</v>
      </c>
      <c r="AC26" s="26">
        <v>4</v>
      </c>
      <c r="AD26" s="28">
        <f t="shared" si="2"/>
        <v>10</v>
      </c>
      <c r="AE26" s="26">
        <v>4</v>
      </c>
      <c r="AF26" s="26">
        <v>4</v>
      </c>
      <c r="AG26" s="26">
        <v>4</v>
      </c>
      <c r="AH26" s="28">
        <f t="shared" si="3"/>
        <v>10</v>
      </c>
      <c r="AI26" s="26">
        <v>4</v>
      </c>
      <c r="AJ26" s="26">
        <v>3</v>
      </c>
      <c r="AK26" s="28">
        <f t="shared" si="4"/>
        <v>4.5</v>
      </c>
      <c r="AL26" s="28">
        <f t="shared" si="5"/>
        <v>95.5</v>
      </c>
      <c r="AM26" s="26"/>
      <c r="AN26" s="25" t="str">
        <f t="shared" si="6"/>
        <v>否</v>
      </c>
      <c r="AO26" s="25" t="str">
        <f t="shared" si="7"/>
        <v>合格</v>
      </c>
      <c r="AP26" s="25" t="str">
        <f t="shared" si="8"/>
        <v>合格</v>
      </c>
      <c r="AQ26" s="25" t="str">
        <f t="shared" si="9"/>
        <v>合格</v>
      </c>
      <c r="AR26" s="25" t="str">
        <f t="shared" si="10"/>
        <v>合格</v>
      </c>
      <c r="AS26" s="25" t="str">
        <f t="shared" si="11"/>
        <v>合格</v>
      </c>
      <c r="AT26" s="25" t="str">
        <f t="shared" si="12"/>
        <v>生产可用</v>
      </c>
      <c r="AU26" s="25"/>
      <c r="AV26" s="29"/>
      <c r="AW26" s="30"/>
    </row>
    <row r="27" ht="244.05" spans="1:49">
      <c r="A27" s="25" t="s">
        <v>499</v>
      </c>
      <c r="B27" s="26" t="s">
        <v>164</v>
      </c>
      <c r="C27" s="26" t="s">
        <v>74</v>
      </c>
      <c r="D27" s="26" t="s">
        <v>467</v>
      </c>
      <c r="E27" s="27" t="s">
        <v>468</v>
      </c>
      <c r="F27" s="26" t="s">
        <v>471</v>
      </c>
      <c r="G27" s="26"/>
      <c r="H27" s="26"/>
      <c r="I27" s="26">
        <v>5</v>
      </c>
      <c r="J27" s="26">
        <v>5</v>
      </c>
      <c r="K27" s="26">
        <v>5</v>
      </c>
      <c r="L27" s="26">
        <v>4</v>
      </c>
      <c r="M27" s="26">
        <v>4</v>
      </c>
      <c r="N27" s="26">
        <v>4</v>
      </c>
      <c r="O27" s="26">
        <v>4</v>
      </c>
      <c r="P27" s="26">
        <v>4</v>
      </c>
      <c r="Q27" s="26">
        <v>4</v>
      </c>
      <c r="R27" s="26">
        <v>4</v>
      </c>
      <c r="S27" s="28">
        <f t="shared" si="0"/>
        <v>45</v>
      </c>
      <c r="T27" s="26">
        <v>4</v>
      </c>
      <c r="U27" s="26">
        <v>4</v>
      </c>
      <c r="V27" s="26">
        <v>4</v>
      </c>
      <c r="W27" s="26">
        <v>4</v>
      </c>
      <c r="X27" s="26">
        <v>4</v>
      </c>
      <c r="Y27" s="26">
        <v>4</v>
      </c>
      <c r="Z27" s="28">
        <f t="shared" si="1"/>
        <v>30</v>
      </c>
      <c r="AA27" s="26">
        <v>4</v>
      </c>
      <c r="AB27" s="26">
        <v>4</v>
      </c>
      <c r="AC27" s="26">
        <v>4</v>
      </c>
      <c r="AD27" s="28">
        <f t="shared" si="2"/>
        <v>10</v>
      </c>
      <c r="AE27" s="26">
        <v>4</v>
      </c>
      <c r="AF27" s="26">
        <v>4</v>
      </c>
      <c r="AG27" s="26">
        <v>4</v>
      </c>
      <c r="AH27" s="28">
        <f t="shared" si="3"/>
        <v>10</v>
      </c>
      <c r="AI27" s="26">
        <v>4</v>
      </c>
      <c r="AJ27" s="26">
        <v>3</v>
      </c>
      <c r="AK27" s="28">
        <f t="shared" si="4"/>
        <v>4.5</v>
      </c>
      <c r="AL27" s="28">
        <f t="shared" si="5"/>
        <v>99.5</v>
      </c>
      <c r="AM27" s="26"/>
      <c r="AN27" s="25" t="str">
        <f t="shared" si="6"/>
        <v>否</v>
      </c>
      <c r="AO27" s="25" t="str">
        <f t="shared" si="7"/>
        <v>合格</v>
      </c>
      <c r="AP27" s="25" t="str">
        <f t="shared" si="8"/>
        <v>合格</v>
      </c>
      <c r="AQ27" s="25" t="str">
        <f t="shared" si="9"/>
        <v>合格</v>
      </c>
      <c r="AR27" s="25" t="str">
        <f t="shared" si="10"/>
        <v>合格</v>
      </c>
      <c r="AS27" s="25" t="str">
        <f t="shared" si="11"/>
        <v>合格</v>
      </c>
      <c r="AT27" s="25" t="str">
        <f t="shared" si="12"/>
        <v>生产可用</v>
      </c>
      <c r="AU27" s="25"/>
      <c r="AV27" s="29"/>
      <c r="AW27" s="30"/>
    </row>
    <row r="28" ht="244.2" spans="1:49">
      <c r="A28" s="25" t="s">
        <v>500</v>
      </c>
      <c r="B28" s="26" t="s">
        <v>164</v>
      </c>
      <c r="C28" s="26" t="s">
        <v>74</v>
      </c>
      <c r="D28" s="26" t="s">
        <v>473</v>
      </c>
      <c r="E28" s="27" t="s">
        <v>474</v>
      </c>
      <c r="F28" s="26" t="s">
        <v>469</v>
      </c>
      <c r="G28" s="26"/>
      <c r="H28" s="26"/>
      <c r="I28" s="26">
        <v>4</v>
      </c>
      <c r="J28" s="26">
        <v>4</v>
      </c>
      <c r="K28" s="26">
        <v>4</v>
      </c>
      <c r="L28" s="26">
        <v>3</v>
      </c>
      <c r="M28" s="26">
        <v>4</v>
      </c>
      <c r="N28" s="26">
        <v>3</v>
      </c>
      <c r="O28" s="26">
        <v>4</v>
      </c>
      <c r="P28" s="26">
        <v>4</v>
      </c>
      <c r="Q28" s="26">
        <v>4</v>
      </c>
      <c r="R28" s="26">
        <v>3</v>
      </c>
      <c r="S28" s="28">
        <f t="shared" si="0"/>
        <v>38.6</v>
      </c>
      <c r="T28" s="26">
        <v>4</v>
      </c>
      <c r="U28" s="26">
        <v>4</v>
      </c>
      <c r="V28" s="26">
        <v>4</v>
      </c>
      <c r="W28" s="26">
        <v>4</v>
      </c>
      <c r="X28" s="26">
        <v>4</v>
      </c>
      <c r="Y28" s="26">
        <v>4</v>
      </c>
      <c r="Z28" s="28">
        <f t="shared" si="1"/>
        <v>30</v>
      </c>
      <c r="AA28" s="26">
        <v>4</v>
      </c>
      <c r="AB28" s="26">
        <v>3</v>
      </c>
      <c r="AC28" s="26">
        <v>3</v>
      </c>
      <c r="AD28" s="28">
        <f t="shared" si="2"/>
        <v>8.5</v>
      </c>
      <c r="AE28" s="26">
        <v>4</v>
      </c>
      <c r="AF28" s="26">
        <v>4</v>
      </c>
      <c r="AG28" s="26">
        <v>4</v>
      </c>
      <c r="AH28" s="28">
        <f t="shared" si="3"/>
        <v>10</v>
      </c>
      <c r="AI28" s="26">
        <v>4</v>
      </c>
      <c r="AJ28" s="26">
        <v>3</v>
      </c>
      <c r="AK28" s="28">
        <f t="shared" si="4"/>
        <v>4.5</v>
      </c>
      <c r="AL28" s="28">
        <f t="shared" si="5"/>
        <v>91.6</v>
      </c>
      <c r="AM28" s="26"/>
      <c r="AN28" s="25" t="str">
        <f t="shared" si="6"/>
        <v>否</v>
      </c>
      <c r="AO28" s="25" t="str">
        <f t="shared" si="7"/>
        <v>合格</v>
      </c>
      <c r="AP28" s="25" t="str">
        <f t="shared" si="8"/>
        <v>合格</v>
      </c>
      <c r="AQ28" s="25" t="str">
        <f t="shared" si="9"/>
        <v>合格</v>
      </c>
      <c r="AR28" s="25" t="str">
        <f t="shared" si="10"/>
        <v>合格</v>
      </c>
      <c r="AS28" s="25" t="str">
        <f t="shared" si="11"/>
        <v>合格</v>
      </c>
      <c r="AT28" s="25" t="str">
        <f t="shared" si="12"/>
        <v>生产可用</v>
      </c>
      <c r="AU28" s="25"/>
      <c r="AV28" s="29"/>
      <c r="AW28" s="30"/>
    </row>
    <row r="29" ht="244.2" spans="1:49">
      <c r="A29" s="25" t="s">
        <v>501</v>
      </c>
      <c r="B29" s="26" t="s">
        <v>164</v>
      </c>
      <c r="C29" s="26" t="s">
        <v>74</v>
      </c>
      <c r="D29" s="26" t="s">
        <v>473</v>
      </c>
      <c r="E29" s="27" t="s">
        <v>474</v>
      </c>
      <c r="F29" s="26" t="s">
        <v>471</v>
      </c>
      <c r="G29" s="26"/>
      <c r="H29" s="26"/>
      <c r="I29" s="26">
        <v>4</v>
      </c>
      <c r="J29" s="26">
        <v>4</v>
      </c>
      <c r="K29" s="26">
        <v>4</v>
      </c>
      <c r="L29" s="26">
        <v>3</v>
      </c>
      <c r="M29" s="26">
        <v>4</v>
      </c>
      <c r="N29" s="26">
        <v>3</v>
      </c>
      <c r="O29" s="26">
        <v>4</v>
      </c>
      <c r="P29" s="26">
        <v>4</v>
      </c>
      <c r="Q29" s="26">
        <v>4</v>
      </c>
      <c r="R29" s="26">
        <v>3</v>
      </c>
      <c r="S29" s="28">
        <f t="shared" si="0"/>
        <v>38.6</v>
      </c>
      <c r="T29" s="26">
        <v>4</v>
      </c>
      <c r="U29" s="26">
        <v>4</v>
      </c>
      <c r="V29" s="26">
        <v>4</v>
      </c>
      <c r="W29" s="26">
        <v>4</v>
      </c>
      <c r="X29" s="26">
        <v>4</v>
      </c>
      <c r="Y29" s="26">
        <v>4</v>
      </c>
      <c r="Z29" s="28">
        <f t="shared" si="1"/>
        <v>30</v>
      </c>
      <c r="AA29" s="26">
        <v>4</v>
      </c>
      <c r="AB29" s="26">
        <v>3</v>
      </c>
      <c r="AC29" s="26">
        <v>3</v>
      </c>
      <c r="AD29" s="28">
        <f t="shared" si="2"/>
        <v>8.5</v>
      </c>
      <c r="AE29" s="26">
        <v>4</v>
      </c>
      <c r="AF29" s="26">
        <v>4</v>
      </c>
      <c r="AG29" s="26">
        <v>4</v>
      </c>
      <c r="AH29" s="28">
        <f t="shared" si="3"/>
        <v>10</v>
      </c>
      <c r="AI29" s="26">
        <v>4</v>
      </c>
      <c r="AJ29" s="26">
        <v>3</v>
      </c>
      <c r="AK29" s="28">
        <f t="shared" si="4"/>
        <v>4.5</v>
      </c>
      <c r="AL29" s="28">
        <f t="shared" si="5"/>
        <v>91.6</v>
      </c>
      <c r="AM29" s="26"/>
      <c r="AN29" s="25" t="str">
        <f t="shared" si="6"/>
        <v>否</v>
      </c>
      <c r="AO29" s="25" t="str">
        <f t="shared" si="7"/>
        <v>合格</v>
      </c>
      <c r="AP29" s="25" t="str">
        <f t="shared" si="8"/>
        <v>合格</v>
      </c>
      <c r="AQ29" s="25" t="str">
        <f t="shared" si="9"/>
        <v>合格</v>
      </c>
      <c r="AR29" s="25" t="str">
        <f t="shared" si="10"/>
        <v>合格</v>
      </c>
      <c r="AS29" s="25" t="str">
        <f t="shared" si="11"/>
        <v>合格</v>
      </c>
      <c r="AT29" s="25" t="str">
        <f t="shared" si="12"/>
        <v>生产可用</v>
      </c>
      <c r="AU29" s="25"/>
      <c r="AV29" s="29"/>
      <c r="AW29" s="30"/>
    </row>
    <row r="30" ht="136.2" spans="1:49">
      <c r="A30" s="25" t="s">
        <v>502</v>
      </c>
      <c r="B30" s="26" t="s">
        <v>164</v>
      </c>
      <c r="C30" s="26" t="s">
        <v>74</v>
      </c>
      <c r="D30" s="26" t="s">
        <v>477</v>
      </c>
      <c r="E30" s="27">
        <v>2.5</v>
      </c>
      <c r="F30" s="26" t="s">
        <v>469</v>
      </c>
      <c r="G30" s="26"/>
      <c r="H30" s="26"/>
      <c r="I30" s="26">
        <v>3</v>
      </c>
      <c r="J30" s="26">
        <v>5</v>
      </c>
      <c r="K30" s="26">
        <v>4</v>
      </c>
      <c r="L30" s="26">
        <v>4</v>
      </c>
      <c r="M30" s="26">
        <v>4</v>
      </c>
      <c r="N30" s="26">
        <v>3</v>
      </c>
      <c r="O30" s="26">
        <v>4</v>
      </c>
      <c r="P30" s="26">
        <v>4</v>
      </c>
      <c r="Q30" s="26">
        <v>4</v>
      </c>
      <c r="R30" s="26">
        <v>4</v>
      </c>
      <c r="S30" s="28">
        <f t="shared" si="0"/>
        <v>41.1</v>
      </c>
      <c r="T30" s="26">
        <v>4</v>
      </c>
      <c r="U30" s="26">
        <v>4</v>
      </c>
      <c r="V30" s="26">
        <v>4</v>
      </c>
      <c r="W30" s="26">
        <v>3</v>
      </c>
      <c r="X30" s="26">
        <v>4</v>
      </c>
      <c r="Y30" s="26">
        <v>3</v>
      </c>
      <c r="Z30" s="28">
        <f t="shared" si="1"/>
        <v>28.25</v>
      </c>
      <c r="AA30" s="26">
        <v>0</v>
      </c>
      <c r="AB30" s="26">
        <v>4</v>
      </c>
      <c r="AC30" s="26">
        <v>4</v>
      </c>
      <c r="AD30" s="28">
        <f t="shared" si="2"/>
        <v>6</v>
      </c>
      <c r="AE30" s="26">
        <v>4</v>
      </c>
      <c r="AF30" s="26">
        <v>4</v>
      </c>
      <c r="AG30" s="26">
        <v>4</v>
      </c>
      <c r="AH30" s="28">
        <f t="shared" si="3"/>
        <v>10</v>
      </c>
      <c r="AI30" s="26">
        <v>4</v>
      </c>
      <c r="AJ30" s="26">
        <v>3</v>
      </c>
      <c r="AK30" s="28">
        <f t="shared" si="4"/>
        <v>4.5</v>
      </c>
      <c r="AL30" s="28">
        <f t="shared" si="5"/>
        <v>89.85</v>
      </c>
      <c r="AM30" s="26"/>
      <c r="AN30" s="25" t="str">
        <f t="shared" si="6"/>
        <v>否</v>
      </c>
      <c r="AO30" s="25" t="str">
        <f t="shared" si="7"/>
        <v>合格</v>
      </c>
      <c r="AP30" s="25" t="str">
        <f t="shared" si="8"/>
        <v>合格</v>
      </c>
      <c r="AQ30" s="25" t="str">
        <f t="shared" si="9"/>
        <v>临界</v>
      </c>
      <c r="AR30" s="25" t="str">
        <f t="shared" si="10"/>
        <v>合格</v>
      </c>
      <c r="AS30" s="25" t="str">
        <f t="shared" si="11"/>
        <v>合格</v>
      </c>
      <c r="AT30" s="25" t="str">
        <f t="shared" si="12"/>
        <v>待复核</v>
      </c>
      <c r="AU30" s="25"/>
      <c r="AV30" s="29"/>
      <c r="AW30" s="30"/>
    </row>
    <row r="31" ht="136.2" spans="1:49">
      <c r="A31" s="25" t="s">
        <v>503</v>
      </c>
      <c r="B31" s="26" t="s">
        <v>164</v>
      </c>
      <c r="C31" s="26" t="s">
        <v>74</v>
      </c>
      <c r="D31" s="26" t="s">
        <v>477</v>
      </c>
      <c r="E31" s="27">
        <v>2.5</v>
      </c>
      <c r="F31" s="26" t="s">
        <v>471</v>
      </c>
      <c r="G31" s="26"/>
      <c r="H31" s="26"/>
      <c r="I31" s="26">
        <v>3</v>
      </c>
      <c r="J31" s="26">
        <v>5</v>
      </c>
      <c r="K31" s="26">
        <v>4</v>
      </c>
      <c r="L31" s="26">
        <v>4</v>
      </c>
      <c r="M31" s="26">
        <v>4</v>
      </c>
      <c r="N31" s="26">
        <v>3</v>
      </c>
      <c r="O31" s="26">
        <v>4</v>
      </c>
      <c r="P31" s="26">
        <v>4</v>
      </c>
      <c r="Q31" s="26">
        <v>4</v>
      </c>
      <c r="R31" s="26">
        <v>4</v>
      </c>
      <c r="S31" s="28">
        <f t="shared" si="0"/>
        <v>41.1</v>
      </c>
      <c r="T31" s="26">
        <v>4</v>
      </c>
      <c r="U31" s="26">
        <v>4</v>
      </c>
      <c r="V31" s="26">
        <v>4</v>
      </c>
      <c r="W31" s="26">
        <v>4</v>
      </c>
      <c r="X31" s="26">
        <v>4</v>
      </c>
      <c r="Y31" s="26">
        <v>4</v>
      </c>
      <c r="Z31" s="28">
        <f t="shared" si="1"/>
        <v>30</v>
      </c>
      <c r="AA31" s="26">
        <v>0</v>
      </c>
      <c r="AB31" s="26">
        <v>4</v>
      </c>
      <c r="AC31" s="26">
        <v>4</v>
      </c>
      <c r="AD31" s="28">
        <f t="shared" si="2"/>
        <v>6</v>
      </c>
      <c r="AE31" s="26">
        <v>4</v>
      </c>
      <c r="AF31" s="26">
        <v>4</v>
      </c>
      <c r="AG31" s="26">
        <v>4</v>
      </c>
      <c r="AH31" s="28">
        <f t="shared" si="3"/>
        <v>10</v>
      </c>
      <c r="AI31" s="26">
        <v>4</v>
      </c>
      <c r="AJ31" s="26">
        <v>3</v>
      </c>
      <c r="AK31" s="28">
        <f t="shared" si="4"/>
        <v>4.5</v>
      </c>
      <c r="AL31" s="28">
        <f t="shared" si="5"/>
        <v>91.6</v>
      </c>
      <c r="AM31" s="26"/>
      <c r="AN31" s="25" t="str">
        <f t="shared" si="6"/>
        <v>否</v>
      </c>
      <c r="AO31" s="25" t="str">
        <f t="shared" si="7"/>
        <v>合格</v>
      </c>
      <c r="AP31" s="25" t="str">
        <f t="shared" si="8"/>
        <v>合格</v>
      </c>
      <c r="AQ31" s="25" t="str">
        <f t="shared" si="9"/>
        <v>临界</v>
      </c>
      <c r="AR31" s="25" t="str">
        <f t="shared" si="10"/>
        <v>合格</v>
      </c>
      <c r="AS31" s="25" t="str">
        <f t="shared" si="11"/>
        <v>合格</v>
      </c>
      <c r="AT31" s="25" t="str">
        <f t="shared" si="12"/>
        <v>待复核</v>
      </c>
      <c r="AU31" s="25"/>
      <c r="AV31" s="29"/>
      <c r="AW31" s="30"/>
    </row>
    <row r="32" ht="188" spans="1:49">
      <c r="A32" s="25" t="s">
        <v>504</v>
      </c>
      <c r="B32" s="26" t="s">
        <v>174</v>
      </c>
      <c r="C32" s="26" t="s">
        <v>81</v>
      </c>
      <c r="D32" s="26" t="s">
        <v>467</v>
      </c>
      <c r="E32" s="27" t="s">
        <v>468</v>
      </c>
      <c r="F32" s="26" t="s">
        <v>469</v>
      </c>
      <c r="G32" s="26"/>
      <c r="H32" s="26"/>
      <c r="I32" s="26">
        <v>5</v>
      </c>
      <c r="J32" s="26">
        <v>5</v>
      </c>
      <c r="K32" s="26">
        <v>5</v>
      </c>
      <c r="L32" s="26">
        <v>4</v>
      </c>
      <c r="M32" s="26">
        <v>4</v>
      </c>
      <c r="N32" s="26">
        <v>4</v>
      </c>
      <c r="O32" s="26">
        <v>4</v>
      </c>
      <c r="P32" s="26">
        <v>4</v>
      </c>
      <c r="Q32" s="26">
        <v>4</v>
      </c>
      <c r="R32" s="26">
        <v>4</v>
      </c>
      <c r="S32" s="28">
        <f t="shared" si="0"/>
        <v>45</v>
      </c>
      <c r="T32" s="26">
        <v>4</v>
      </c>
      <c r="U32" s="26">
        <v>4</v>
      </c>
      <c r="V32" s="26">
        <v>4</v>
      </c>
      <c r="W32" s="26">
        <v>4</v>
      </c>
      <c r="X32" s="26">
        <v>4</v>
      </c>
      <c r="Y32" s="26">
        <v>4</v>
      </c>
      <c r="Z32" s="28">
        <f t="shared" si="1"/>
        <v>30</v>
      </c>
      <c r="AA32" s="26">
        <v>4</v>
      </c>
      <c r="AB32" s="26">
        <v>4</v>
      </c>
      <c r="AC32" s="26">
        <v>4</v>
      </c>
      <c r="AD32" s="28">
        <f t="shared" si="2"/>
        <v>10</v>
      </c>
      <c r="AE32" s="26">
        <v>4</v>
      </c>
      <c r="AF32" s="26">
        <v>4</v>
      </c>
      <c r="AG32" s="26">
        <v>4</v>
      </c>
      <c r="AH32" s="28">
        <f t="shared" si="3"/>
        <v>10</v>
      </c>
      <c r="AI32" s="26">
        <v>4</v>
      </c>
      <c r="AJ32" s="26">
        <v>3</v>
      </c>
      <c r="AK32" s="28">
        <f t="shared" si="4"/>
        <v>4.5</v>
      </c>
      <c r="AL32" s="28">
        <f t="shared" si="5"/>
        <v>99.5</v>
      </c>
      <c r="AM32" s="26"/>
      <c r="AN32" s="25" t="str">
        <f t="shared" si="6"/>
        <v>否</v>
      </c>
      <c r="AO32" s="25" t="str">
        <f t="shared" si="7"/>
        <v>合格</v>
      </c>
      <c r="AP32" s="25" t="str">
        <f t="shared" si="8"/>
        <v>合格</v>
      </c>
      <c r="AQ32" s="25" t="str">
        <f t="shared" si="9"/>
        <v>合格</v>
      </c>
      <c r="AR32" s="25" t="str">
        <f t="shared" si="10"/>
        <v>合格</v>
      </c>
      <c r="AS32" s="25" t="str">
        <f t="shared" si="11"/>
        <v>合格</v>
      </c>
      <c r="AT32" s="25" t="str">
        <f t="shared" si="12"/>
        <v>生产可用</v>
      </c>
      <c r="AU32" s="25"/>
      <c r="AV32" s="29"/>
      <c r="AW32" s="30"/>
    </row>
    <row r="33" ht="188" spans="1:49">
      <c r="A33" s="25" t="s">
        <v>505</v>
      </c>
      <c r="B33" s="26" t="s">
        <v>174</v>
      </c>
      <c r="C33" s="26" t="s">
        <v>81</v>
      </c>
      <c r="D33" s="26" t="s">
        <v>467</v>
      </c>
      <c r="E33" s="27" t="s">
        <v>468</v>
      </c>
      <c r="F33" s="26" t="s">
        <v>471</v>
      </c>
      <c r="G33" s="26"/>
      <c r="H33" s="26"/>
      <c r="I33" s="26">
        <v>5</v>
      </c>
      <c r="J33" s="26">
        <v>4</v>
      </c>
      <c r="K33" s="26">
        <v>5</v>
      </c>
      <c r="L33" s="26">
        <v>4</v>
      </c>
      <c r="M33" s="26">
        <v>4</v>
      </c>
      <c r="N33" s="26">
        <v>4</v>
      </c>
      <c r="O33" s="26">
        <v>4</v>
      </c>
      <c r="P33" s="26">
        <v>4</v>
      </c>
      <c r="Q33" s="26">
        <v>4</v>
      </c>
      <c r="R33" s="26">
        <v>4</v>
      </c>
      <c r="S33" s="28">
        <f t="shared" si="0"/>
        <v>44.2</v>
      </c>
      <c r="T33" s="26">
        <v>4</v>
      </c>
      <c r="U33" s="26">
        <v>4</v>
      </c>
      <c r="V33" s="26">
        <v>4</v>
      </c>
      <c r="W33" s="26">
        <v>4</v>
      </c>
      <c r="X33" s="26">
        <v>4</v>
      </c>
      <c r="Y33" s="26">
        <v>4</v>
      </c>
      <c r="Z33" s="28">
        <f t="shared" si="1"/>
        <v>30</v>
      </c>
      <c r="AA33" s="26">
        <v>4</v>
      </c>
      <c r="AB33" s="26">
        <v>4</v>
      </c>
      <c r="AC33" s="26">
        <v>4</v>
      </c>
      <c r="AD33" s="28">
        <f t="shared" si="2"/>
        <v>10</v>
      </c>
      <c r="AE33" s="26">
        <v>4</v>
      </c>
      <c r="AF33" s="26">
        <v>4</v>
      </c>
      <c r="AG33" s="26">
        <v>4</v>
      </c>
      <c r="AH33" s="28">
        <f t="shared" si="3"/>
        <v>10</v>
      </c>
      <c r="AI33" s="26">
        <v>4</v>
      </c>
      <c r="AJ33" s="26">
        <v>3</v>
      </c>
      <c r="AK33" s="28">
        <f t="shared" si="4"/>
        <v>4.5</v>
      </c>
      <c r="AL33" s="28">
        <f t="shared" si="5"/>
        <v>98.7</v>
      </c>
      <c r="AM33" s="26"/>
      <c r="AN33" s="25" t="str">
        <f t="shared" si="6"/>
        <v>否</v>
      </c>
      <c r="AO33" s="25" t="str">
        <f t="shared" si="7"/>
        <v>合格</v>
      </c>
      <c r="AP33" s="25" t="str">
        <f t="shared" si="8"/>
        <v>合格</v>
      </c>
      <c r="AQ33" s="25" t="str">
        <f t="shared" si="9"/>
        <v>合格</v>
      </c>
      <c r="AR33" s="25" t="str">
        <f t="shared" si="10"/>
        <v>合格</v>
      </c>
      <c r="AS33" s="25" t="str">
        <f t="shared" si="11"/>
        <v>合格</v>
      </c>
      <c r="AT33" s="25" t="str">
        <f t="shared" si="12"/>
        <v>生产可用</v>
      </c>
      <c r="AU33" s="25"/>
      <c r="AV33" s="29"/>
      <c r="AW33" s="30"/>
    </row>
    <row r="34" ht="187.9" spans="1:49">
      <c r="A34" s="25" t="s">
        <v>506</v>
      </c>
      <c r="B34" s="26" t="s">
        <v>174</v>
      </c>
      <c r="C34" s="26" t="s">
        <v>81</v>
      </c>
      <c r="D34" s="26" t="s">
        <v>473</v>
      </c>
      <c r="E34" s="27" t="s">
        <v>474</v>
      </c>
      <c r="F34" s="26" t="s">
        <v>469</v>
      </c>
      <c r="G34" s="26"/>
      <c r="H34" s="26"/>
      <c r="I34" s="26">
        <v>4</v>
      </c>
      <c r="J34" s="26">
        <v>4</v>
      </c>
      <c r="K34" s="26">
        <v>4</v>
      </c>
      <c r="L34" s="26">
        <v>3</v>
      </c>
      <c r="M34" s="26">
        <v>4</v>
      </c>
      <c r="N34" s="26">
        <v>4</v>
      </c>
      <c r="O34" s="26">
        <v>4</v>
      </c>
      <c r="P34" s="26">
        <v>3</v>
      </c>
      <c r="Q34" s="26">
        <v>3</v>
      </c>
      <c r="R34" s="26">
        <v>4</v>
      </c>
      <c r="S34" s="28">
        <f t="shared" si="0"/>
        <v>38.6</v>
      </c>
      <c r="T34" s="26">
        <v>4</v>
      </c>
      <c r="U34" s="26">
        <v>4</v>
      </c>
      <c r="V34" s="26">
        <v>3</v>
      </c>
      <c r="W34" s="26">
        <v>3</v>
      </c>
      <c r="X34" s="26">
        <v>4</v>
      </c>
      <c r="Y34" s="26">
        <v>4</v>
      </c>
      <c r="Z34" s="28">
        <f t="shared" si="1"/>
        <v>27.5</v>
      </c>
      <c r="AA34" s="26">
        <v>3</v>
      </c>
      <c r="AB34" s="26">
        <v>3</v>
      </c>
      <c r="AC34" s="26">
        <v>3</v>
      </c>
      <c r="AD34" s="28">
        <f t="shared" si="2"/>
        <v>7.5</v>
      </c>
      <c r="AE34" s="26">
        <v>4</v>
      </c>
      <c r="AF34" s="26">
        <v>4</v>
      </c>
      <c r="AG34" s="26">
        <v>4</v>
      </c>
      <c r="AH34" s="28">
        <f t="shared" si="3"/>
        <v>10</v>
      </c>
      <c r="AI34" s="26">
        <v>4</v>
      </c>
      <c r="AJ34" s="26">
        <v>3</v>
      </c>
      <c r="AK34" s="28">
        <f t="shared" si="4"/>
        <v>4.5</v>
      </c>
      <c r="AL34" s="28">
        <f t="shared" si="5"/>
        <v>88.1</v>
      </c>
      <c r="AM34" s="26"/>
      <c r="AN34" s="25" t="str">
        <f t="shared" si="6"/>
        <v>否</v>
      </c>
      <c r="AO34" s="25" t="str">
        <f t="shared" si="7"/>
        <v>合格</v>
      </c>
      <c r="AP34" s="25" t="str">
        <f t="shared" si="8"/>
        <v>合格</v>
      </c>
      <c r="AQ34" s="25" t="str">
        <f t="shared" si="9"/>
        <v>合格</v>
      </c>
      <c r="AR34" s="25" t="str">
        <f t="shared" si="10"/>
        <v>合格</v>
      </c>
      <c r="AS34" s="25" t="str">
        <f t="shared" si="11"/>
        <v>合格</v>
      </c>
      <c r="AT34" s="25" t="str">
        <f t="shared" si="12"/>
        <v>生产可用</v>
      </c>
      <c r="AU34" s="25"/>
      <c r="AV34" s="29"/>
      <c r="AW34" s="30"/>
    </row>
    <row r="35" ht="187.9" spans="1:49">
      <c r="A35" s="25" t="s">
        <v>507</v>
      </c>
      <c r="B35" s="26" t="s">
        <v>174</v>
      </c>
      <c r="C35" s="26" t="s">
        <v>81</v>
      </c>
      <c r="D35" s="26" t="s">
        <v>473</v>
      </c>
      <c r="E35" s="27" t="s">
        <v>474</v>
      </c>
      <c r="F35" s="26" t="s">
        <v>471</v>
      </c>
      <c r="G35" s="26"/>
      <c r="H35" s="26"/>
      <c r="I35" s="26">
        <v>4</v>
      </c>
      <c r="J35" s="26">
        <v>4</v>
      </c>
      <c r="K35" s="26">
        <v>4</v>
      </c>
      <c r="L35" s="26">
        <v>3</v>
      </c>
      <c r="M35" s="26">
        <v>4</v>
      </c>
      <c r="N35" s="26">
        <v>4</v>
      </c>
      <c r="O35" s="26">
        <v>4</v>
      </c>
      <c r="P35" s="26">
        <v>4</v>
      </c>
      <c r="Q35" s="26">
        <v>4</v>
      </c>
      <c r="R35" s="26">
        <v>3</v>
      </c>
      <c r="S35" s="28">
        <f t="shared" si="0"/>
        <v>40.1</v>
      </c>
      <c r="T35" s="26">
        <v>4</v>
      </c>
      <c r="U35" s="26">
        <v>4</v>
      </c>
      <c r="V35" s="26">
        <v>4</v>
      </c>
      <c r="W35" s="26">
        <v>4</v>
      </c>
      <c r="X35" s="26">
        <v>4</v>
      </c>
      <c r="Y35" s="26">
        <v>4</v>
      </c>
      <c r="Z35" s="28">
        <f t="shared" si="1"/>
        <v>30</v>
      </c>
      <c r="AA35" s="26">
        <v>3</v>
      </c>
      <c r="AB35" s="26">
        <v>2</v>
      </c>
      <c r="AC35" s="26">
        <v>2</v>
      </c>
      <c r="AD35" s="28">
        <f t="shared" si="2"/>
        <v>6</v>
      </c>
      <c r="AE35" s="26">
        <v>4</v>
      </c>
      <c r="AF35" s="26">
        <v>4</v>
      </c>
      <c r="AG35" s="26">
        <v>4</v>
      </c>
      <c r="AH35" s="28">
        <f t="shared" si="3"/>
        <v>10</v>
      </c>
      <c r="AI35" s="26">
        <v>4</v>
      </c>
      <c r="AJ35" s="26">
        <v>3</v>
      </c>
      <c r="AK35" s="28">
        <f t="shared" si="4"/>
        <v>4.5</v>
      </c>
      <c r="AL35" s="28">
        <f t="shared" si="5"/>
        <v>90.6</v>
      </c>
      <c r="AM35" s="26"/>
      <c r="AN35" s="25" t="str">
        <f t="shared" si="6"/>
        <v>否</v>
      </c>
      <c r="AO35" s="25" t="str">
        <f t="shared" si="7"/>
        <v>合格</v>
      </c>
      <c r="AP35" s="25" t="str">
        <f t="shared" si="8"/>
        <v>合格</v>
      </c>
      <c r="AQ35" s="25" t="str">
        <f t="shared" si="9"/>
        <v>临界</v>
      </c>
      <c r="AR35" s="25" t="str">
        <f t="shared" si="10"/>
        <v>合格</v>
      </c>
      <c r="AS35" s="25" t="str">
        <f t="shared" si="11"/>
        <v>合格</v>
      </c>
      <c r="AT35" s="25" t="str">
        <f t="shared" si="12"/>
        <v>待复核</v>
      </c>
      <c r="AU35" s="25"/>
      <c r="AV35" s="29"/>
      <c r="AW35" s="30"/>
    </row>
    <row r="36" ht="136.2" spans="1:49">
      <c r="A36" s="25" t="s">
        <v>508</v>
      </c>
      <c r="B36" s="26" t="s">
        <v>174</v>
      </c>
      <c r="C36" s="26" t="s">
        <v>81</v>
      </c>
      <c r="D36" s="26" t="s">
        <v>477</v>
      </c>
      <c r="E36" s="27">
        <v>2.5</v>
      </c>
      <c r="F36" s="26" t="s">
        <v>469</v>
      </c>
      <c r="G36" s="26"/>
      <c r="H36" s="26"/>
      <c r="I36" s="26">
        <v>4</v>
      </c>
      <c r="J36" s="26">
        <v>3</v>
      </c>
      <c r="K36" s="26">
        <v>4</v>
      </c>
      <c r="L36" s="26">
        <v>4</v>
      </c>
      <c r="M36" s="26">
        <v>4</v>
      </c>
      <c r="N36" s="26">
        <v>4</v>
      </c>
      <c r="O36" s="26">
        <v>4</v>
      </c>
      <c r="P36" s="26">
        <v>4</v>
      </c>
      <c r="Q36" s="26">
        <v>3</v>
      </c>
      <c r="R36" s="26">
        <v>4</v>
      </c>
      <c r="S36" s="28">
        <f t="shared" si="0"/>
        <v>40.8</v>
      </c>
      <c r="T36" s="26">
        <v>4</v>
      </c>
      <c r="U36" s="26">
        <v>4</v>
      </c>
      <c r="V36" s="26">
        <v>4</v>
      </c>
      <c r="W36" s="26">
        <v>4</v>
      </c>
      <c r="X36" s="26">
        <v>4</v>
      </c>
      <c r="Y36" s="26">
        <v>4</v>
      </c>
      <c r="Z36" s="28">
        <f t="shared" si="1"/>
        <v>30</v>
      </c>
      <c r="AA36" s="26">
        <v>0</v>
      </c>
      <c r="AB36" s="26">
        <v>4</v>
      </c>
      <c r="AC36" s="26">
        <v>4</v>
      </c>
      <c r="AD36" s="28">
        <f t="shared" si="2"/>
        <v>6</v>
      </c>
      <c r="AE36" s="26">
        <v>4</v>
      </c>
      <c r="AF36" s="26">
        <v>4</v>
      </c>
      <c r="AG36" s="26">
        <v>4</v>
      </c>
      <c r="AH36" s="28">
        <f t="shared" si="3"/>
        <v>10</v>
      </c>
      <c r="AI36" s="26">
        <v>4</v>
      </c>
      <c r="AJ36" s="26">
        <v>3</v>
      </c>
      <c r="AK36" s="28">
        <f t="shared" si="4"/>
        <v>4.5</v>
      </c>
      <c r="AL36" s="28">
        <f t="shared" si="5"/>
        <v>91.3</v>
      </c>
      <c r="AM36" s="26"/>
      <c r="AN36" s="25" t="str">
        <f t="shared" si="6"/>
        <v>否</v>
      </c>
      <c r="AO36" s="25" t="str">
        <f t="shared" si="7"/>
        <v>合格</v>
      </c>
      <c r="AP36" s="25" t="str">
        <f t="shared" si="8"/>
        <v>合格</v>
      </c>
      <c r="AQ36" s="25" t="str">
        <f t="shared" si="9"/>
        <v>临界</v>
      </c>
      <c r="AR36" s="25" t="str">
        <f t="shared" si="10"/>
        <v>合格</v>
      </c>
      <c r="AS36" s="25" t="str">
        <f t="shared" si="11"/>
        <v>合格</v>
      </c>
      <c r="AT36" s="25" t="str">
        <f t="shared" si="12"/>
        <v>待复核</v>
      </c>
      <c r="AU36" s="25"/>
      <c r="AV36" s="29"/>
      <c r="AW36" s="30"/>
    </row>
    <row r="37" ht="136.2" spans="1:49">
      <c r="A37" s="25" t="s">
        <v>509</v>
      </c>
      <c r="B37" s="26" t="s">
        <v>174</v>
      </c>
      <c r="C37" s="26" t="s">
        <v>81</v>
      </c>
      <c r="D37" s="26" t="s">
        <v>477</v>
      </c>
      <c r="E37" s="27">
        <v>2.5</v>
      </c>
      <c r="F37" s="26" t="s">
        <v>471</v>
      </c>
      <c r="G37" s="26"/>
      <c r="H37" s="26"/>
      <c r="I37" s="26">
        <v>4</v>
      </c>
      <c r="J37" s="26">
        <v>3</v>
      </c>
      <c r="K37" s="26">
        <v>4</v>
      </c>
      <c r="L37" s="26">
        <v>4</v>
      </c>
      <c r="M37" s="26">
        <v>4</v>
      </c>
      <c r="N37" s="26">
        <v>4</v>
      </c>
      <c r="O37" s="26">
        <v>4</v>
      </c>
      <c r="P37" s="26">
        <v>4</v>
      </c>
      <c r="Q37" s="26">
        <v>3</v>
      </c>
      <c r="R37" s="26">
        <v>4</v>
      </c>
      <c r="S37" s="28">
        <f t="shared" si="0"/>
        <v>40.8</v>
      </c>
      <c r="T37" s="26">
        <v>4</v>
      </c>
      <c r="U37" s="26">
        <v>4</v>
      </c>
      <c r="V37" s="26">
        <v>4</v>
      </c>
      <c r="W37" s="26">
        <v>4</v>
      </c>
      <c r="X37" s="26">
        <v>4</v>
      </c>
      <c r="Y37" s="26">
        <v>4</v>
      </c>
      <c r="Z37" s="28">
        <f t="shared" si="1"/>
        <v>30</v>
      </c>
      <c r="AA37" s="26">
        <v>0</v>
      </c>
      <c r="AB37" s="26">
        <v>4</v>
      </c>
      <c r="AC37" s="26">
        <v>4</v>
      </c>
      <c r="AD37" s="28">
        <f t="shared" si="2"/>
        <v>6</v>
      </c>
      <c r="AE37" s="26">
        <v>4</v>
      </c>
      <c r="AF37" s="26">
        <v>4</v>
      </c>
      <c r="AG37" s="26">
        <v>4</v>
      </c>
      <c r="AH37" s="28">
        <f t="shared" si="3"/>
        <v>10</v>
      </c>
      <c r="AI37" s="26">
        <v>4</v>
      </c>
      <c r="AJ37" s="26">
        <v>3</v>
      </c>
      <c r="AK37" s="28">
        <f t="shared" si="4"/>
        <v>4.5</v>
      </c>
      <c r="AL37" s="28">
        <f t="shared" si="5"/>
        <v>91.3</v>
      </c>
      <c r="AM37" s="26"/>
      <c r="AN37" s="25" t="str">
        <f t="shared" si="6"/>
        <v>否</v>
      </c>
      <c r="AO37" s="25" t="str">
        <f t="shared" si="7"/>
        <v>合格</v>
      </c>
      <c r="AP37" s="25" t="str">
        <f t="shared" si="8"/>
        <v>合格</v>
      </c>
      <c r="AQ37" s="25" t="str">
        <f t="shared" si="9"/>
        <v>临界</v>
      </c>
      <c r="AR37" s="25" t="str">
        <f t="shared" si="10"/>
        <v>合格</v>
      </c>
      <c r="AS37" s="25" t="str">
        <f t="shared" si="11"/>
        <v>合格</v>
      </c>
      <c r="AT37" s="25" t="str">
        <f t="shared" si="12"/>
        <v>待复核</v>
      </c>
      <c r="AU37" s="25"/>
      <c r="AV37" s="29"/>
      <c r="AW37" s="30"/>
    </row>
    <row r="38" ht="202.25" spans="1:49">
      <c r="A38" s="25" t="s">
        <v>510</v>
      </c>
      <c r="B38" s="26" t="s">
        <v>183</v>
      </c>
      <c r="C38" s="26" t="s">
        <v>88</v>
      </c>
      <c r="D38" s="26" t="s">
        <v>467</v>
      </c>
      <c r="E38" s="27" t="s">
        <v>468</v>
      </c>
      <c r="F38" s="26" t="s">
        <v>469</v>
      </c>
      <c r="G38" s="26"/>
      <c r="H38" s="26"/>
      <c r="I38" s="26">
        <v>3</v>
      </c>
      <c r="J38" s="26">
        <v>5</v>
      </c>
      <c r="K38" s="26">
        <v>5</v>
      </c>
      <c r="L38" s="26">
        <v>4</v>
      </c>
      <c r="M38" s="26">
        <v>4</v>
      </c>
      <c r="N38" s="26">
        <v>4</v>
      </c>
      <c r="O38" s="26">
        <v>4</v>
      </c>
      <c r="P38" s="26">
        <v>4</v>
      </c>
      <c r="Q38" s="26">
        <v>4</v>
      </c>
      <c r="R38" s="26">
        <v>4</v>
      </c>
      <c r="S38" s="28">
        <f t="shared" si="0"/>
        <v>43.4</v>
      </c>
      <c r="T38" s="26">
        <v>4</v>
      </c>
      <c r="U38" s="26">
        <v>4</v>
      </c>
      <c r="V38" s="26">
        <v>4</v>
      </c>
      <c r="W38" s="26">
        <v>4</v>
      </c>
      <c r="X38" s="26">
        <v>4</v>
      </c>
      <c r="Y38" s="26">
        <v>4</v>
      </c>
      <c r="Z38" s="28">
        <f t="shared" si="1"/>
        <v>30</v>
      </c>
      <c r="AA38" s="26">
        <v>4</v>
      </c>
      <c r="AB38" s="26">
        <v>4</v>
      </c>
      <c r="AC38" s="26">
        <v>4</v>
      </c>
      <c r="AD38" s="28">
        <f t="shared" si="2"/>
        <v>10</v>
      </c>
      <c r="AE38" s="26">
        <v>4</v>
      </c>
      <c r="AF38" s="26">
        <v>4</v>
      </c>
      <c r="AG38" s="26">
        <v>4</v>
      </c>
      <c r="AH38" s="28">
        <f t="shared" si="3"/>
        <v>10</v>
      </c>
      <c r="AI38" s="26">
        <v>4</v>
      </c>
      <c r="AJ38" s="26">
        <v>3</v>
      </c>
      <c r="AK38" s="28">
        <f t="shared" si="4"/>
        <v>4.5</v>
      </c>
      <c r="AL38" s="28">
        <f t="shared" si="5"/>
        <v>97.9</v>
      </c>
      <c r="AM38" s="26"/>
      <c r="AN38" s="25" t="str">
        <f t="shared" si="6"/>
        <v>否</v>
      </c>
      <c r="AO38" s="25" t="str">
        <f t="shared" si="7"/>
        <v>合格</v>
      </c>
      <c r="AP38" s="25" t="str">
        <f t="shared" si="8"/>
        <v>合格</v>
      </c>
      <c r="AQ38" s="25" t="str">
        <f t="shared" si="9"/>
        <v>合格</v>
      </c>
      <c r="AR38" s="25" t="str">
        <f t="shared" si="10"/>
        <v>合格</v>
      </c>
      <c r="AS38" s="25" t="str">
        <f t="shared" si="11"/>
        <v>合格</v>
      </c>
      <c r="AT38" s="25" t="str">
        <f t="shared" si="12"/>
        <v>生产可用</v>
      </c>
      <c r="AU38" s="25"/>
      <c r="AV38" s="29"/>
      <c r="AW38" s="30"/>
    </row>
    <row r="39" ht="202.25" spans="1:49">
      <c r="A39" s="25" t="s">
        <v>511</v>
      </c>
      <c r="B39" s="26" t="s">
        <v>183</v>
      </c>
      <c r="C39" s="26" t="s">
        <v>88</v>
      </c>
      <c r="D39" s="26" t="s">
        <v>467</v>
      </c>
      <c r="E39" s="27" t="s">
        <v>468</v>
      </c>
      <c r="F39" s="26" t="s">
        <v>471</v>
      </c>
      <c r="G39" s="26"/>
      <c r="H39" s="26"/>
      <c r="I39" s="26">
        <v>3</v>
      </c>
      <c r="J39" s="26">
        <v>5</v>
      </c>
      <c r="K39" s="26">
        <v>5</v>
      </c>
      <c r="L39" s="26">
        <v>4</v>
      </c>
      <c r="M39" s="26">
        <v>4</v>
      </c>
      <c r="N39" s="26">
        <v>4</v>
      </c>
      <c r="O39" s="26">
        <v>4</v>
      </c>
      <c r="P39" s="26">
        <v>4</v>
      </c>
      <c r="Q39" s="26">
        <v>4</v>
      </c>
      <c r="R39" s="26">
        <v>4</v>
      </c>
      <c r="S39" s="28">
        <f t="shared" si="0"/>
        <v>43.4</v>
      </c>
      <c r="T39" s="26">
        <v>4</v>
      </c>
      <c r="U39" s="26">
        <v>4</v>
      </c>
      <c r="V39" s="26">
        <v>4</v>
      </c>
      <c r="W39" s="26">
        <v>4</v>
      </c>
      <c r="X39" s="26">
        <v>4</v>
      </c>
      <c r="Y39" s="26">
        <v>4</v>
      </c>
      <c r="Z39" s="28">
        <f t="shared" si="1"/>
        <v>30</v>
      </c>
      <c r="AA39" s="26">
        <v>4</v>
      </c>
      <c r="AB39" s="26">
        <v>4</v>
      </c>
      <c r="AC39" s="26">
        <v>4</v>
      </c>
      <c r="AD39" s="28">
        <f t="shared" si="2"/>
        <v>10</v>
      </c>
      <c r="AE39" s="26">
        <v>4</v>
      </c>
      <c r="AF39" s="26">
        <v>4</v>
      </c>
      <c r="AG39" s="26">
        <v>4</v>
      </c>
      <c r="AH39" s="28">
        <f t="shared" si="3"/>
        <v>10</v>
      </c>
      <c r="AI39" s="26">
        <v>4</v>
      </c>
      <c r="AJ39" s="26">
        <v>3</v>
      </c>
      <c r="AK39" s="28">
        <f t="shared" si="4"/>
        <v>4.5</v>
      </c>
      <c r="AL39" s="28">
        <f t="shared" si="5"/>
        <v>97.9</v>
      </c>
      <c r="AM39" s="26"/>
      <c r="AN39" s="25" t="str">
        <f t="shared" si="6"/>
        <v>否</v>
      </c>
      <c r="AO39" s="25" t="str">
        <f t="shared" si="7"/>
        <v>合格</v>
      </c>
      <c r="AP39" s="25" t="str">
        <f t="shared" si="8"/>
        <v>合格</v>
      </c>
      <c r="AQ39" s="25" t="str">
        <f t="shared" si="9"/>
        <v>合格</v>
      </c>
      <c r="AR39" s="25" t="str">
        <f t="shared" si="10"/>
        <v>合格</v>
      </c>
      <c r="AS39" s="25" t="str">
        <f t="shared" si="11"/>
        <v>合格</v>
      </c>
      <c r="AT39" s="25" t="str">
        <f t="shared" si="12"/>
        <v>生产可用</v>
      </c>
      <c r="AU39" s="25"/>
      <c r="AV39" s="29"/>
      <c r="AW39" s="30"/>
    </row>
    <row r="40" ht="202.3" spans="1:49">
      <c r="A40" s="25" t="s">
        <v>512</v>
      </c>
      <c r="B40" s="26" t="s">
        <v>183</v>
      </c>
      <c r="C40" s="26" t="s">
        <v>88</v>
      </c>
      <c r="D40" s="26" t="s">
        <v>473</v>
      </c>
      <c r="E40" s="27" t="s">
        <v>474</v>
      </c>
      <c r="F40" s="26" t="s">
        <v>469</v>
      </c>
      <c r="G40" s="26"/>
      <c r="H40" s="26"/>
      <c r="I40" s="26">
        <v>3</v>
      </c>
      <c r="J40" s="26">
        <v>5</v>
      </c>
      <c r="K40" s="26">
        <v>4</v>
      </c>
      <c r="L40" s="26">
        <v>3</v>
      </c>
      <c r="M40" s="26">
        <v>4</v>
      </c>
      <c r="N40" s="26">
        <v>3</v>
      </c>
      <c r="O40" s="26">
        <v>4</v>
      </c>
      <c r="P40" s="26">
        <v>4</v>
      </c>
      <c r="Q40" s="26">
        <v>4</v>
      </c>
      <c r="R40" s="26">
        <v>4</v>
      </c>
      <c r="S40" s="28">
        <f t="shared" si="0"/>
        <v>39.1</v>
      </c>
      <c r="T40" s="26">
        <v>4</v>
      </c>
      <c r="U40" s="26">
        <v>4</v>
      </c>
      <c r="V40" s="26">
        <v>4</v>
      </c>
      <c r="W40" s="26">
        <v>4</v>
      </c>
      <c r="X40" s="26">
        <v>4</v>
      </c>
      <c r="Y40" s="26">
        <v>4</v>
      </c>
      <c r="Z40" s="28">
        <f t="shared" si="1"/>
        <v>30</v>
      </c>
      <c r="AA40" s="26">
        <v>3</v>
      </c>
      <c r="AB40" s="26">
        <v>3</v>
      </c>
      <c r="AC40" s="26">
        <v>3</v>
      </c>
      <c r="AD40" s="28">
        <f t="shared" si="2"/>
        <v>7.5</v>
      </c>
      <c r="AE40" s="26">
        <v>4</v>
      </c>
      <c r="AF40" s="26">
        <v>4</v>
      </c>
      <c r="AG40" s="26">
        <v>4</v>
      </c>
      <c r="AH40" s="28">
        <f t="shared" si="3"/>
        <v>10</v>
      </c>
      <c r="AI40" s="26">
        <v>4</v>
      </c>
      <c r="AJ40" s="26">
        <v>3</v>
      </c>
      <c r="AK40" s="28">
        <f t="shared" si="4"/>
        <v>4.5</v>
      </c>
      <c r="AL40" s="28">
        <f t="shared" si="5"/>
        <v>91.1</v>
      </c>
      <c r="AM40" s="26"/>
      <c r="AN40" s="25" t="str">
        <f t="shared" si="6"/>
        <v>否</v>
      </c>
      <c r="AO40" s="25" t="str">
        <f t="shared" si="7"/>
        <v>合格</v>
      </c>
      <c r="AP40" s="25" t="str">
        <f t="shared" si="8"/>
        <v>合格</v>
      </c>
      <c r="AQ40" s="25" t="str">
        <f t="shared" si="9"/>
        <v>合格</v>
      </c>
      <c r="AR40" s="25" t="str">
        <f t="shared" si="10"/>
        <v>合格</v>
      </c>
      <c r="AS40" s="25" t="str">
        <f t="shared" si="11"/>
        <v>合格</v>
      </c>
      <c r="AT40" s="25" t="str">
        <f t="shared" si="12"/>
        <v>生产可用</v>
      </c>
      <c r="AU40" s="25"/>
      <c r="AV40" s="29"/>
      <c r="AW40" s="30" t="s">
        <v>513</v>
      </c>
    </row>
    <row r="41" ht="202.3" spans="1:49">
      <c r="A41" s="25" t="s">
        <v>514</v>
      </c>
      <c r="B41" s="26" t="s">
        <v>183</v>
      </c>
      <c r="C41" s="26" t="s">
        <v>88</v>
      </c>
      <c r="D41" s="26" t="s">
        <v>473</v>
      </c>
      <c r="E41" s="27" t="s">
        <v>474</v>
      </c>
      <c r="F41" s="26" t="s">
        <v>471</v>
      </c>
      <c r="G41" s="26"/>
      <c r="H41" s="26"/>
      <c r="I41" s="26">
        <v>4</v>
      </c>
      <c r="J41" s="26">
        <v>5</v>
      </c>
      <c r="K41" s="26">
        <v>5</v>
      </c>
      <c r="L41" s="26">
        <v>3</v>
      </c>
      <c r="M41" s="26">
        <v>4</v>
      </c>
      <c r="N41" s="26">
        <v>4</v>
      </c>
      <c r="O41" s="26">
        <v>4</v>
      </c>
      <c r="P41" s="26">
        <v>4</v>
      </c>
      <c r="Q41" s="26">
        <v>4</v>
      </c>
      <c r="R41" s="26">
        <v>4</v>
      </c>
      <c r="S41" s="28">
        <f t="shared" si="0"/>
        <v>42.2</v>
      </c>
      <c r="T41" s="26">
        <v>4</v>
      </c>
      <c r="U41" s="26">
        <v>4</v>
      </c>
      <c r="V41" s="26">
        <v>4</v>
      </c>
      <c r="W41" s="26">
        <v>4</v>
      </c>
      <c r="X41" s="26">
        <v>4</v>
      </c>
      <c r="Y41" s="26">
        <v>4</v>
      </c>
      <c r="Z41" s="28">
        <f t="shared" si="1"/>
        <v>30</v>
      </c>
      <c r="AA41" s="26">
        <v>3</v>
      </c>
      <c r="AB41" s="26">
        <v>3</v>
      </c>
      <c r="AC41" s="26">
        <v>3</v>
      </c>
      <c r="AD41" s="28">
        <f t="shared" si="2"/>
        <v>7.5</v>
      </c>
      <c r="AE41" s="26">
        <v>4</v>
      </c>
      <c r="AF41" s="26">
        <v>4</v>
      </c>
      <c r="AG41" s="26">
        <v>4</v>
      </c>
      <c r="AH41" s="28">
        <f t="shared" si="3"/>
        <v>10</v>
      </c>
      <c r="AI41" s="26">
        <v>4</v>
      </c>
      <c r="AJ41" s="26">
        <v>3</v>
      </c>
      <c r="AK41" s="28">
        <f t="shared" si="4"/>
        <v>4.5</v>
      </c>
      <c r="AL41" s="28">
        <f t="shared" si="5"/>
        <v>94.2</v>
      </c>
      <c r="AM41" s="26"/>
      <c r="AN41" s="25" t="str">
        <f t="shared" si="6"/>
        <v>否</v>
      </c>
      <c r="AO41" s="25" t="str">
        <f t="shared" si="7"/>
        <v>合格</v>
      </c>
      <c r="AP41" s="25" t="str">
        <f t="shared" si="8"/>
        <v>合格</v>
      </c>
      <c r="AQ41" s="25" t="str">
        <f t="shared" si="9"/>
        <v>合格</v>
      </c>
      <c r="AR41" s="25" t="str">
        <f t="shared" si="10"/>
        <v>合格</v>
      </c>
      <c r="AS41" s="25" t="str">
        <f t="shared" si="11"/>
        <v>合格</v>
      </c>
      <c r="AT41" s="25" t="str">
        <f t="shared" si="12"/>
        <v>生产可用</v>
      </c>
      <c r="AU41" s="25"/>
      <c r="AV41" s="29"/>
      <c r="AW41" s="30"/>
    </row>
    <row r="42" ht="149.2" spans="1:49">
      <c r="A42" s="25" t="s">
        <v>515</v>
      </c>
      <c r="B42" s="26" t="s">
        <v>183</v>
      </c>
      <c r="C42" s="26" t="s">
        <v>88</v>
      </c>
      <c r="D42" s="26" t="s">
        <v>477</v>
      </c>
      <c r="E42" s="27">
        <v>2.5</v>
      </c>
      <c r="F42" s="26" t="s">
        <v>469</v>
      </c>
      <c r="G42" s="26"/>
      <c r="H42" s="26"/>
      <c r="I42" s="26">
        <v>3</v>
      </c>
      <c r="J42" s="26">
        <v>5</v>
      </c>
      <c r="K42" s="26">
        <v>4</v>
      </c>
      <c r="L42" s="26">
        <v>4</v>
      </c>
      <c r="M42" s="26">
        <v>4</v>
      </c>
      <c r="N42" s="26">
        <v>3</v>
      </c>
      <c r="O42" s="26">
        <v>4</v>
      </c>
      <c r="P42" s="26">
        <v>4</v>
      </c>
      <c r="Q42" s="26">
        <v>4</v>
      </c>
      <c r="R42" s="26">
        <v>4</v>
      </c>
      <c r="S42" s="28">
        <f t="shared" si="0"/>
        <v>41.1</v>
      </c>
      <c r="T42" s="26">
        <v>4</v>
      </c>
      <c r="U42" s="26">
        <v>2</v>
      </c>
      <c r="V42" s="26">
        <v>4</v>
      </c>
      <c r="W42" s="26">
        <v>4</v>
      </c>
      <c r="X42" s="26">
        <v>4</v>
      </c>
      <c r="Y42" s="26">
        <v>4</v>
      </c>
      <c r="Z42" s="28">
        <f t="shared" si="1"/>
        <v>27</v>
      </c>
      <c r="AA42" s="26">
        <v>0</v>
      </c>
      <c r="AB42" s="26">
        <v>4</v>
      </c>
      <c r="AC42" s="26">
        <v>4</v>
      </c>
      <c r="AD42" s="28">
        <f t="shared" si="2"/>
        <v>6</v>
      </c>
      <c r="AE42" s="26">
        <v>4</v>
      </c>
      <c r="AF42" s="26">
        <v>4</v>
      </c>
      <c r="AG42" s="26">
        <v>4</v>
      </c>
      <c r="AH42" s="28">
        <f t="shared" si="3"/>
        <v>10</v>
      </c>
      <c r="AI42" s="26">
        <v>4</v>
      </c>
      <c r="AJ42" s="26">
        <v>3</v>
      </c>
      <c r="AK42" s="28">
        <f t="shared" si="4"/>
        <v>4.5</v>
      </c>
      <c r="AL42" s="28">
        <f t="shared" si="5"/>
        <v>88.6</v>
      </c>
      <c r="AM42" s="26"/>
      <c r="AN42" s="25" t="str">
        <f t="shared" si="6"/>
        <v>否</v>
      </c>
      <c r="AO42" s="25" t="str">
        <f t="shared" si="7"/>
        <v>合格</v>
      </c>
      <c r="AP42" s="25" t="str">
        <f t="shared" si="8"/>
        <v>合格</v>
      </c>
      <c r="AQ42" s="25" t="str">
        <f t="shared" si="9"/>
        <v>临界</v>
      </c>
      <c r="AR42" s="25" t="str">
        <f t="shared" si="10"/>
        <v>合格</v>
      </c>
      <c r="AS42" s="25" t="str">
        <f t="shared" si="11"/>
        <v>合格</v>
      </c>
      <c r="AT42" s="25" t="str">
        <f t="shared" si="12"/>
        <v>待复核</v>
      </c>
      <c r="AU42" s="25"/>
      <c r="AV42" s="29"/>
      <c r="AW42" s="30"/>
    </row>
    <row r="43" ht="203.6" spans="1:49">
      <c r="A43" s="25" t="s">
        <v>516</v>
      </c>
      <c r="B43" s="26" t="s">
        <v>183</v>
      </c>
      <c r="C43" s="26" t="s">
        <v>88</v>
      </c>
      <c r="D43" s="26" t="s">
        <v>477</v>
      </c>
      <c r="E43" s="27">
        <v>2.5</v>
      </c>
      <c r="F43" s="26" t="s">
        <v>471</v>
      </c>
      <c r="G43" s="26"/>
      <c r="H43" s="26"/>
      <c r="I43" s="26">
        <v>3</v>
      </c>
      <c r="J43" s="26">
        <v>5</v>
      </c>
      <c r="K43" s="26">
        <v>4</v>
      </c>
      <c r="L43" s="26">
        <v>4</v>
      </c>
      <c r="M43" s="26">
        <v>4</v>
      </c>
      <c r="N43" s="26">
        <v>3</v>
      </c>
      <c r="O43" s="26">
        <v>4</v>
      </c>
      <c r="P43" s="26">
        <v>4</v>
      </c>
      <c r="Q43" s="26">
        <v>4</v>
      </c>
      <c r="R43" s="26">
        <v>4</v>
      </c>
      <c r="S43" s="28">
        <f t="shared" si="0"/>
        <v>41.1</v>
      </c>
      <c r="T43" s="26">
        <v>4</v>
      </c>
      <c r="U43" s="26">
        <v>2</v>
      </c>
      <c r="V43" s="26">
        <v>4</v>
      </c>
      <c r="W43" s="26">
        <v>4</v>
      </c>
      <c r="X43" s="26">
        <v>4</v>
      </c>
      <c r="Y43" s="26">
        <v>4</v>
      </c>
      <c r="Z43" s="28">
        <f t="shared" si="1"/>
        <v>27</v>
      </c>
      <c r="AA43" s="26">
        <v>0</v>
      </c>
      <c r="AB43" s="26">
        <v>4</v>
      </c>
      <c r="AC43" s="26">
        <v>4</v>
      </c>
      <c r="AD43" s="28">
        <f t="shared" si="2"/>
        <v>6</v>
      </c>
      <c r="AE43" s="26">
        <v>4</v>
      </c>
      <c r="AF43" s="26">
        <v>4</v>
      </c>
      <c r="AG43" s="26">
        <v>4</v>
      </c>
      <c r="AH43" s="28">
        <f t="shared" si="3"/>
        <v>10</v>
      </c>
      <c r="AI43" s="26">
        <v>4</v>
      </c>
      <c r="AJ43" s="26">
        <v>3</v>
      </c>
      <c r="AK43" s="28">
        <f t="shared" si="4"/>
        <v>4.5</v>
      </c>
      <c r="AL43" s="28">
        <f t="shared" si="5"/>
        <v>88.6</v>
      </c>
      <c r="AM43" s="26"/>
      <c r="AN43" s="25" t="str">
        <f t="shared" si="6"/>
        <v>否</v>
      </c>
      <c r="AO43" s="25" t="str">
        <f t="shared" si="7"/>
        <v>合格</v>
      </c>
      <c r="AP43" s="25" t="str">
        <f t="shared" si="8"/>
        <v>合格</v>
      </c>
      <c r="AQ43" s="25" t="str">
        <f t="shared" si="9"/>
        <v>临界</v>
      </c>
      <c r="AR43" s="25" t="str">
        <f t="shared" si="10"/>
        <v>合格</v>
      </c>
      <c r="AS43" s="25" t="str">
        <f t="shared" si="11"/>
        <v>合格</v>
      </c>
      <c r="AT43" s="25" t="str">
        <f t="shared" si="12"/>
        <v>待复核</v>
      </c>
      <c r="AU43" s="25"/>
      <c r="AV43" s="29"/>
      <c r="AW43" s="30"/>
    </row>
    <row r="44" ht="200.55" spans="1:49">
      <c r="A44" s="25" t="s">
        <v>517</v>
      </c>
      <c r="B44" s="26" t="s">
        <v>192</v>
      </c>
      <c r="C44" s="26" t="s">
        <v>95</v>
      </c>
      <c r="D44" s="26" t="s">
        <v>467</v>
      </c>
      <c r="E44" s="27" t="s">
        <v>468</v>
      </c>
      <c r="F44" s="26" t="s">
        <v>469</v>
      </c>
      <c r="G44" s="26"/>
      <c r="H44" s="26"/>
      <c r="I44" s="26">
        <v>5</v>
      </c>
      <c r="J44" s="26">
        <v>5</v>
      </c>
      <c r="K44" s="26">
        <v>5</v>
      </c>
      <c r="L44" s="26">
        <v>4</v>
      </c>
      <c r="M44" s="26">
        <v>4</v>
      </c>
      <c r="N44" s="26">
        <v>4</v>
      </c>
      <c r="O44" s="26">
        <v>4</v>
      </c>
      <c r="P44" s="26">
        <v>4</v>
      </c>
      <c r="Q44" s="26">
        <v>4</v>
      </c>
      <c r="R44" s="26">
        <v>2</v>
      </c>
      <c r="S44" s="28">
        <f t="shared" si="0"/>
        <v>44</v>
      </c>
      <c r="T44" s="26">
        <v>4</v>
      </c>
      <c r="U44" s="26">
        <v>3</v>
      </c>
      <c r="V44" s="26">
        <v>4</v>
      </c>
      <c r="W44" s="26">
        <v>4</v>
      </c>
      <c r="X44" s="26">
        <v>4</v>
      </c>
      <c r="Y44" s="26">
        <v>3</v>
      </c>
      <c r="Z44" s="28">
        <f t="shared" si="1"/>
        <v>27.75</v>
      </c>
      <c r="AA44" s="26">
        <v>4</v>
      </c>
      <c r="AB44" s="26">
        <v>4</v>
      </c>
      <c r="AC44" s="26">
        <v>4</v>
      </c>
      <c r="AD44" s="28">
        <f t="shared" si="2"/>
        <v>10</v>
      </c>
      <c r="AE44" s="26">
        <v>4</v>
      </c>
      <c r="AF44" s="26">
        <v>4</v>
      </c>
      <c r="AG44" s="26">
        <v>4</v>
      </c>
      <c r="AH44" s="28">
        <f t="shared" si="3"/>
        <v>10</v>
      </c>
      <c r="AI44" s="26">
        <v>4</v>
      </c>
      <c r="AJ44" s="26">
        <v>3</v>
      </c>
      <c r="AK44" s="28">
        <f t="shared" si="4"/>
        <v>4.5</v>
      </c>
      <c r="AL44" s="28">
        <f t="shared" si="5"/>
        <v>96.25</v>
      </c>
      <c r="AM44" s="26"/>
      <c r="AN44" s="25" t="str">
        <f t="shared" si="6"/>
        <v>否</v>
      </c>
      <c r="AO44" s="25" t="str">
        <f t="shared" si="7"/>
        <v>合格</v>
      </c>
      <c r="AP44" s="25" t="str">
        <f t="shared" si="8"/>
        <v>合格</v>
      </c>
      <c r="AQ44" s="25" t="str">
        <f t="shared" si="9"/>
        <v>合格</v>
      </c>
      <c r="AR44" s="25" t="str">
        <f t="shared" si="10"/>
        <v>合格</v>
      </c>
      <c r="AS44" s="25" t="str">
        <f t="shared" si="11"/>
        <v>合格</v>
      </c>
      <c r="AT44" s="25" t="str">
        <f t="shared" si="12"/>
        <v>生产可用</v>
      </c>
      <c r="AU44" s="25"/>
      <c r="AV44" s="29"/>
      <c r="AW44" s="30"/>
    </row>
    <row r="45" ht="200.55" spans="1:49">
      <c r="A45" s="25" t="s">
        <v>518</v>
      </c>
      <c r="B45" s="26" t="s">
        <v>192</v>
      </c>
      <c r="C45" s="26" t="s">
        <v>95</v>
      </c>
      <c r="D45" s="26" t="s">
        <v>467</v>
      </c>
      <c r="E45" s="27" t="s">
        <v>468</v>
      </c>
      <c r="F45" s="26" t="s">
        <v>471</v>
      </c>
      <c r="G45" s="26"/>
      <c r="H45" s="26"/>
      <c r="I45" s="26">
        <v>5</v>
      </c>
      <c r="J45" s="26">
        <v>5</v>
      </c>
      <c r="K45" s="26">
        <v>5</v>
      </c>
      <c r="L45" s="26">
        <v>4</v>
      </c>
      <c r="M45" s="26">
        <v>4</v>
      </c>
      <c r="N45" s="26">
        <v>4</v>
      </c>
      <c r="O45" s="26">
        <v>4</v>
      </c>
      <c r="P45" s="26">
        <v>4</v>
      </c>
      <c r="Q45" s="26">
        <v>4</v>
      </c>
      <c r="R45" s="26">
        <v>2</v>
      </c>
      <c r="S45" s="28">
        <f t="shared" si="0"/>
        <v>44</v>
      </c>
      <c r="T45" s="26">
        <v>4</v>
      </c>
      <c r="U45" s="26">
        <v>4</v>
      </c>
      <c r="V45" s="26">
        <v>4</v>
      </c>
      <c r="W45" s="26">
        <v>4</v>
      </c>
      <c r="X45" s="26">
        <v>4</v>
      </c>
      <c r="Y45" s="26">
        <v>4</v>
      </c>
      <c r="Z45" s="28">
        <f t="shared" si="1"/>
        <v>30</v>
      </c>
      <c r="AA45" s="26">
        <v>4</v>
      </c>
      <c r="AB45" s="26">
        <v>4</v>
      </c>
      <c r="AC45" s="26">
        <v>4</v>
      </c>
      <c r="AD45" s="28">
        <f t="shared" si="2"/>
        <v>10</v>
      </c>
      <c r="AE45" s="26">
        <v>4</v>
      </c>
      <c r="AF45" s="26">
        <v>4</v>
      </c>
      <c r="AG45" s="26">
        <v>4</v>
      </c>
      <c r="AH45" s="28">
        <f t="shared" si="3"/>
        <v>10</v>
      </c>
      <c r="AI45" s="26">
        <v>4</v>
      </c>
      <c r="AJ45" s="26">
        <v>3</v>
      </c>
      <c r="AK45" s="28">
        <f t="shared" si="4"/>
        <v>4.5</v>
      </c>
      <c r="AL45" s="28">
        <f t="shared" si="5"/>
        <v>98.5</v>
      </c>
      <c r="AM45" s="26"/>
      <c r="AN45" s="25" t="str">
        <f t="shared" si="6"/>
        <v>否</v>
      </c>
      <c r="AO45" s="25" t="str">
        <f t="shared" si="7"/>
        <v>合格</v>
      </c>
      <c r="AP45" s="25" t="str">
        <f t="shared" si="8"/>
        <v>合格</v>
      </c>
      <c r="AQ45" s="25" t="str">
        <f t="shared" si="9"/>
        <v>合格</v>
      </c>
      <c r="AR45" s="25" t="str">
        <f t="shared" si="10"/>
        <v>合格</v>
      </c>
      <c r="AS45" s="25" t="str">
        <f t="shared" si="11"/>
        <v>合格</v>
      </c>
      <c r="AT45" s="25" t="str">
        <f t="shared" si="12"/>
        <v>生产可用</v>
      </c>
      <c r="AU45" s="25"/>
      <c r="AV45" s="29"/>
      <c r="AW45" s="30"/>
    </row>
    <row r="46" ht="200.8" spans="1:49">
      <c r="A46" s="25" t="s">
        <v>519</v>
      </c>
      <c r="B46" s="26" t="s">
        <v>192</v>
      </c>
      <c r="C46" s="26" t="s">
        <v>95</v>
      </c>
      <c r="D46" s="26" t="s">
        <v>473</v>
      </c>
      <c r="E46" s="27" t="s">
        <v>474</v>
      </c>
      <c r="F46" s="26" t="s">
        <v>469</v>
      </c>
      <c r="G46" s="26"/>
      <c r="H46" s="26"/>
      <c r="I46" s="26">
        <v>5</v>
      </c>
      <c r="J46" s="26">
        <v>5</v>
      </c>
      <c r="K46" s="26">
        <v>4</v>
      </c>
      <c r="L46" s="26">
        <v>2</v>
      </c>
      <c r="M46" s="26">
        <v>4</v>
      </c>
      <c r="N46" s="26">
        <v>4</v>
      </c>
      <c r="O46" s="26">
        <v>2</v>
      </c>
      <c r="P46" s="26">
        <v>4</v>
      </c>
      <c r="Q46" s="26">
        <v>4</v>
      </c>
      <c r="R46" s="26">
        <v>4</v>
      </c>
      <c r="S46" s="28">
        <f t="shared" si="0"/>
        <v>38.2</v>
      </c>
      <c r="T46" s="26">
        <v>4</v>
      </c>
      <c r="U46" s="26">
        <v>2</v>
      </c>
      <c r="V46" s="26">
        <v>4</v>
      </c>
      <c r="W46" s="26">
        <v>3</v>
      </c>
      <c r="X46" s="26">
        <v>4</v>
      </c>
      <c r="Y46" s="26">
        <v>2</v>
      </c>
      <c r="Z46" s="28">
        <f t="shared" si="1"/>
        <v>24.5</v>
      </c>
      <c r="AA46" s="26">
        <v>4</v>
      </c>
      <c r="AB46" s="26">
        <v>2</v>
      </c>
      <c r="AC46" s="26">
        <v>2</v>
      </c>
      <c r="AD46" s="28">
        <f t="shared" si="2"/>
        <v>7</v>
      </c>
      <c r="AE46" s="26">
        <v>4</v>
      </c>
      <c r="AF46" s="26">
        <v>3</v>
      </c>
      <c r="AG46" s="26">
        <v>4</v>
      </c>
      <c r="AH46" s="28">
        <f t="shared" si="3"/>
        <v>9.25</v>
      </c>
      <c r="AI46" s="26">
        <v>4</v>
      </c>
      <c r="AJ46" s="26">
        <v>3</v>
      </c>
      <c r="AK46" s="28">
        <f t="shared" si="4"/>
        <v>4.5</v>
      </c>
      <c r="AL46" s="28">
        <f t="shared" si="5"/>
        <v>83.45</v>
      </c>
      <c r="AM46" s="26"/>
      <c r="AN46" s="25" t="str">
        <f t="shared" si="6"/>
        <v>否</v>
      </c>
      <c r="AO46" s="25" t="str">
        <f t="shared" si="7"/>
        <v>合格</v>
      </c>
      <c r="AP46" s="25" t="str">
        <f t="shared" si="8"/>
        <v>合格</v>
      </c>
      <c r="AQ46" s="25" t="str">
        <f t="shared" si="9"/>
        <v>合格</v>
      </c>
      <c r="AR46" s="25" t="str">
        <f t="shared" si="10"/>
        <v>合格</v>
      </c>
      <c r="AS46" s="25" t="str">
        <f t="shared" si="11"/>
        <v>合格</v>
      </c>
      <c r="AT46" s="25" t="str">
        <f t="shared" si="12"/>
        <v>生产可用</v>
      </c>
      <c r="AU46" s="25"/>
      <c r="AV46" s="29"/>
      <c r="AW46" s="30"/>
    </row>
    <row r="47" ht="200.8" spans="1:49">
      <c r="A47" s="25" t="s">
        <v>520</v>
      </c>
      <c r="B47" s="26" t="s">
        <v>192</v>
      </c>
      <c r="C47" s="26" t="s">
        <v>95</v>
      </c>
      <c r="D47" s="26" t="s">
        <v>473</v>
      </c>
      <c r="E47" s="27" t="s">
        <v>474</v>
      </c>
      <c r="F47" s="26" t="s">
        <v>471</v>
      </c>
      <c r="G47" s="26"/>
      <c r="H47" s="26"/>
      <c r="I47" s="26">
        <v>5</v>
      </c>
      <c r="J47" s="26">
        <v>5</v>
      </c>
      <c r="K47" s="26">
        <v>4</v>
      </c>
      <c r="L47" s="26">
        <v>2</v>
      </c>
      <c r="M47" s="26">
        <v>4</v>
      </c>
      <c r="N47" s="26">
        <v>4</v>
      </c>
      <c r="O47" s="26">
        <v>2</v>
      </c>
      <c r="P47" s="26">
        <v>4</v>
      </c>
      <c r="Q47" s="26">
        <v>4</v>
      </c>
      <c r="R47" s="26">
        <v>4</v>
      </c>
      <c r="S47" s="28">
        <f t="shared" si="0"/>
        <v>38.2</v>
      </c>
      <c r="T47" s="26">
        <v>4</v>
      </c>
      <c r="U47" s="26">
        <v>4</v>
      </c>
      <c r="V47" s="26">
        <v>4</v>
      </c>
      <c r="W47" s="26">
        <v>4</v>
      </c>
      <c r="X47" s="26">
        <v>4</v>
      </c>
      <c r="Y47" s="26">
        <v>4</v>
      </c>
      <c r="Z47" s="28">
        <f t="shared" si="1"/>
        <v>30</v>
      </c>
      <c r="AA47" s="26">
        <v>4</v>
      </c>
      <c r="AB47" s="26">
        <v>2</v>
      </c>
      <c r="AC47" s="26">
        <v>2</v>
      </c>
      <c r="AD47" s="28">
        <f t="shared" si="2"/>
        <v>7</v>
      </c>
      <c r="AE47" s="26">
        <v>4</v>
      </c>
      <c r="AF47" s="26">
        <v>4</v>
      </c>
      <c r="AG47" s="26">
        <v>4</v>
      </c>
      <c r="AH47" s="28">
        <f t="shared" si="3"/>
        <v>10</v>
      </c>
      <c r="AI47" s="26">
        <v>4</v>
      </c>
      <c r="AJ47" s="26">
        <v>3</v>
      </c>
      <c r="AK47" s="28">
        <f t="shared" si="4"/>
        <v>4.5</v>
      </c>
      <c r="AL47" s="28">
        <f t="shared" si="5"/>
        <v>89.7</v>
      </c>
      <c r="AM47" s="26"/>
      <c r="AN47" s="25" t="str">
        <f t="shared" si="6"/>
        <v>否</v>
      </c>
      <c r="AO47" s="25" t="str">
        <f t="shared" si="7"/>
        <v>合格</v>
      </c>
      <c r="AP47" s="25" t="str">
        <f t="shared" si="8"/>
        <v>合格</v>
      </c>
      <c r="AQ47" s="25" t="str">
        <f t="shared" si="9"/>
        <v>合格</v>
      </c>
      <c r="AR47" s="25" t="str">
        <f t="shared" si="10"/>
        <v>合格</v>
      </c>
      <c r="AS47" s="25" t="str">
        <f t="shared" si="11"/>
        <v>合格</v>
      </c>
      <c r="AT47" s="25" t="str">
        <f t="shared" si="12"/>
        <v>生产可用</v>
      </c>
      <c r="AU47" s="25"/>
      <c r="AV47" s="29"/>
      <c r="AW47" s="30"/>
    </row>
    <row r="48" ht="203.6" spans="1:49">
      <c r="A48" s="25" t="s">
        <v>521</v>
      </c>
      <c r="B48" s="26" t="s">
        <v>192</v>
      </c>
      <c r="C48" s="26" t="s">
        <v>95</v>
      </c>
      <c r="D48" s="26" t="s">
        <v>477</v>
      </c>
      <c r="E48" s="27">
        <v>2.5</v>
      </c>
      <c r="F48" s="26" t="s">
        <v>469</v>
      </c>
      <c r="G48" s="26"/>
      <c r="H48" s="26"/>
      <c r="I48" s="26">
        <v>5</v>
      </c>
      <c r="J48" s="26">
        <v>4</v>
      </c>
      <c r="K48" s="26">
        <v>4</v>
      </c>
      <c r="L48" s="26">
        <v>3</v>
      </c>
      <c r="M48" s="26">
        <v>4</v>
      </c>
      <c r="N48" s="26">
        <v>4</v>
      </c>
      <c r="O48" s="26">
        <v>3</v>
      </c>
      <c r="P48" s="26">
        <v>4</v>
      </c>
      <c r="Q48" s="26">
        <v>4</v>
      </c>
      <c r="R48" s="26">
        <v>2</v>
      </c>
      <c r="S48" s="28">
        <f t="shared" si="0"/>
        <v>39.4</v>
      </c>
      <c r="T48" s="26">
        <v>4</v>
      </c>
      <c r="U48" s="26">
        <v>4</v>
      </c>
      <c r="V48" s="26">
        <v>4</v>
      </c>
      <c r="W48" s="26">
        <v>4</v>
      </c>
      <c r="X48" s="26">
        <v>4</v>
      </c>
      <c r="Y48" s="26">
        <v>4</v>
      </c>
      <c r="Z48" s="28">
        <f t="shared" si="1"/>
        <v>30</v>
      </c>
      <c r="AA48" s="26">
        <v>0</v>
      </c>
      <c r="AB48" s="26">
        <v>4</v>
      </c>
      <c r="AC48" s="26">
        <v>4</v>
      </c>
      <c r="AD48" s="28">
        <f t="shared" si="2"/>
        <v>6</v>
      </c>
      <c r="AE48" s="26">
        <v>4</v>
      </c>
      <c r="AF48" s="26">
        <v>4</v>
      </c>
      <c r="AG48" s="26">
        <v>4</v>
      </c>
      <c r="AH48" s="28">
        <f t="shared" si="3"/>
        <v>10</v>
      </c>
      <c r="AI48" s="26">
        <v>4</v>
      </c>
      <c r="AJ48" s="26">
        <v>3</v>
      </c>
      <c r="AK48" s="28">
        <f t="shared" si="4"/>
        <v>4.5</v>
      </c>
      <c r="AL48" s="28">
        <f t="shared" si="5"/>
        <v>89.9</v>
      </c>
      <c r="AM48" s="26"/>
      <c r="AN48" s="25" t="str">
        <f t="shared" si="6"/>
        <v>否</v>
      </c>
      <c r="AO48" s="25" t="str">
        <f t="shared" si="7"/>
        <v>合格</v>
      </c>
      <c r="AP48" s="25" t="str">
        <f t="shared" si="8"/>
        <v>合格</v>
      </c>
      <c r="AQ48" s="25" t="str">
        <f t="shared" si="9"/>
        <v>临界</v>
      </c>
      <c r="AR48" s="25" t="str">
        <f t="shared" si="10"/>
        <v>合格</v>
      </c>
      <c r="AS48" s="25" t="str">
        <f t="shared" si="11"/>
        <v>合格</v>
      </c>
      <c r="AT48" s="25" t="str">
        <f t="shared" si="12"/>
        <v>待复核</v>
      </c>
      <c r="AU48" s="25"/>
      <c r="AV48" s="29"/>
      <c r="AW48" s="30"/>
    </row>
    <row r="49" ht="136.2" spans="1:49">
      <c r="A49" s="25" t="s">
        <v>522</v>
      </c>
      <c r="B49" s="26" t="s">
        <v>192</v>
      </c>
      <c r="C49" s="26" t="s">
        <v>95</v>
      </c>
      <c r="D49" s="26" t="s">
        <v>477</v>
      </c>
      <c r="E49" s="27">
        <v>2.5</v>
      </c>
      <c r="F49" s="26" t="s">
        <v>471</v>
      </c>
      <c r="G49" s="26"/>
      <c r="H49" s="26"/>
      <c r="I49" s="26">
        <v>5</v>
      </c>
      <c r="J49" s="26">
        <v>4</v>
      </c>
      <c r="K49" s="26">
        <v>4</v>
      </c>
      <c r="L49" s="26">
        <v>3</v>
      </c>
      <c r="M49" s="26">
        <v>4</v>
      </c>
      <c r="N49" s="26">
        <v>4</v>
      </c>
      <c r="O49" s="26">
        <v>3</v>
      </c>
      <c r="P49" s="26">
        <v>4</v>
      </c>
      <c r="Q49" s="26">
        <v>4</v>
      </c>
      <c r="R49" s="26">
        <v>2</v>
      </c>
      <c r="S49" s="28">
        <f t="shared" si="0"/>
        <v>39.4</v>
      </c>
      <c r="T49" s="26">
        <v>4</v>
      </c>
      <c r="U49" s="26">
        <v>4</v>
      </c>
      <c r="V49" s="26">
        <v>4</v>
      </c>
      <c r="W49" s="26">
        <v>4</v>
      </c>
      <c r="X49" s="26">
        <v>4</v>
      </c>
      <c r="Y49" s="26">
        <v>4</v>
      </c>
      <c r="Z49" s="28">
        <f t="shared" si="1"/>
        <v>30</v>
      </c>
      <c r="AA49" s="26">
        <v>0</v>
      </c>
      <c r="AB49" s="26">
        <v>4</v>
      </c>
      <c r="AC49" s="26">
        <v>4</v>
      </c>
      <c r="AD49" s="28">
        <f t="shared" si="2"/>
        <v>6</v>
      </c>
      <c r="AE49" s="26">
        <v>4</v>
      </c>
      <c r="AF49" s="26">
        <v>4</v>
      </c>
      <c r="AG49" s="26">
        <v>4</v>
      </c>
      <c r="AH49" s="28">
        <f t="shared" si="3"/>
        <v>10</v>
      </c>
      <c r="AI49" s="26">
        <v>4</v>
      </c>
      <c r="AJ49" s="26">
        <v>3</v>
      </c>
      <c r="AK49" s="28">
        <f t="shared" si="4"/>
        <v>4.5</v>
      </c>
      <c r="AL49" s="28">
        <f t="shared" si="5"/>
        <v>89.9</v>
      </c>
      <c r="AM49" s="26"/>
      <c r="AN49" s="25" t="str">
        <f t="shared" si="6"/>
        <v>否</v>
      </c>
      <c r="AO49" s="25" t="str">
        <f t="shared" si="7"/>
        <v>合格</v>
      </c>
      <c r="AP49" s="25" t="str">
        <f t="shared" si="8"/>
        <v>合格</v>
      </c>
      <c r="AQ49" s="25" t="str">
        <f t="shared" si="9"/>
        <v>临界</v>
      </c>
      <c r="AR49" s="25" t="str">
        <f t="shared" si="10"/>
        <v>合格</v>
      </c>
      <c r="AS49" s="25" t="str">
        <f t="shared" si="11"/>
        <v>合格</v>
      </c>
      <c r="AT49" s="25" t="str">
        <f t="shared" si="12"/>
        <v>待复核</v>
      </c>
      <c r="AU49" s="25"/>
      <c r="AV49" s="29"/>
      <c r="AW49" s="30"/>
    </row>
    <row r="50" ht="203" spans="1:49">
      <c r="A50" s="25" t="s">
        <v>523</v>
      </c>
      <c r="B50" s="26" t="s">
        <v>201</v>
      </c>
      <c r="C50" s="26" t="s">
        <v>102</v>
      </c>
      <c r="D50" s="26" t="s">
        <v>467</v>
      </c>
      <c r="E50" s="27" t="s">
        <v>468</v>
      </c>
      <c r="F50" s="26" t="s">
        <v>469</v>
      </c>
      <c r="G50" s="26"/>
      <c r="H50" s="26"/>
      <c r="I50" s="26">
        <v>5</v>
      </c>
      <c r="J50" s="26">
        <v>5</v>
      </c>
      <c r="K50" s="26">
        <v>5</v>
      </c>
      <c r="L50" s="26">
        <v>4</v>
      </c>
      <c r="M50" s="26">
        <v>4</v>
      </c>
      <c r="N50" s="26">
        <v>4</v>
      </c>
      <c r="O50" s="26">
        <v>4</v>
      </c>
      <c r="P50" s="26">
        <v>4</v>
      </c>
      <c r="Q50" s="26">
        <v>4</v>
      </c>
      <c r="R50" s="26">
        <v>4</v>
      </c>
      <c r="S50" s="28">
        <f t="shared" si="0"/>
        <v>45</v>
      </c>
      <c r="T50" s="26">
        <v>4</v>
      </c>
      <c r="U50" s="26">
        <v>4</v>
      </c>
      <c r="V50" s="26">
        <v>4</v>
      </c>
      <c r="W50" s="26">
        <v>4</v>
      </c>
      <c r="X50" s="26">
        <v>4</v>
      </c>
      <c r="Y50" s="26">
        <v>4</v>
      </c>
      <c r="Z50" s="28">
        <f t="shared" si="1"/>
        <v>30</v>
      </c>
      <c r="AA50" s="26">
        <v>4</v>
      </c>
      <c r="AB50" s="26">
        <v>4</v>
      </c>
      <c r="AC50" s="26">
        <v>4</v>
      </c>
      <c r="AD50" s="28">
        <f t="shared" si="2"/>
        <v>10</v>
      </c>
      <c r="AE50" s="26">
        <v>4</v>
      </c>
      <c r="AF50" s="26">
        <v>4</v>
      </c>
      <c r="AG50" s="26">
        <v>4</v>
      </c>
      <c r="AH50" s="28">
        <f t="shared" si="3"/>
        <v>10</v>
      </c>
      <c r="AI50" s="26">
        <v>4</v>
      </c>
      <c r="AJ50" s="26">
        <v>4</v>
      </c>
      <c r="AK50" s="28">
        <f t="shared" si="4"/>
        <v>5</v>
      </c>
      <c r="AL50" s="28">
        <f t="shared" si="5"/>
        <v>100</v>
      </c>
      <c r="AM50" s="26"/>
      <c r="AN50" s="25" t="str">
        <f t="shared" si="6"/>
        <v>否</v>
      </c>
      <c r="AO50" s="25" t="str">
        <f t="shared" si="7"/>
        <v>合格</v>
      </c>
      <c r="AP50" s="25" t="str">
        <f t="shared" si="8"/>
        <v>合格</v>
      </c>
      <c r="AQ50" s="25" t="str">
        <f t="shared" si="9"/>
        <v>合格</v>
      </c>
      <c r="AR50" s="25" t="str">
        <f t="shared" si="10"/>
        <v>合格</v>
      </c>
      <c r="AS50" s="25" t="str">
        <f t="shared" si="11"/>
        <v>合格</v>
      </c>
      <c r="AT50" s="25" t="str">
        <f t="shared" si="12"/>
        <v>生产可用</v>
      </c>
      <c r="AU50" s="25"/>
      <c r="AV50" s="29"/>
      <c r="AW50" s="30"/>
    </row>
    <row r="51" ht="203" spans="1:49">
      <c r="A51" s="25" t="s">
        <v>524</v>
      </c>
      <c r="B51" s="26" t="s">
        <v>201</v>
      </c>
      <c r="C51" s="26" t="s">
        <v>102</v>
      </c>
      <c r="D51" s="26" t="s">
        <v>467</v>
      </c>
      <c r="E51" s="27" t="s">
        <v>468</v>
      </c>
      <c r="F51" s="26" t="s">
        <v>471</v>
      </c>
      <c r="G51" s="26"/>
      <c r="H51" s="26"/>
      <c r="I51" s="26">
        <v>5</v>
      </c>
      <c r="J51" s="26">
        <v>5</v>
      </c>
      <c r="K51" s="26">
        <v>5</v>
      </c>
      <c r="L51" s="26">
        <v>4</v>
      </c>
      <c r="M51" s="26">
        <v>4</v>
      </c>
      <c r="N51" s="26">
        <v>4</v>
      </c>
      <c r="O51" s="26">
        <v>4</v>
      </c>
      <c r="P51" s="26">
        <v>4</v>
      </c>
      <c r="Q51" s="26">
        <v>4</v>
      </c>
      <c r="R51" s="26">
        <v>4</v>
      </c>
      <c r="S51" s="28">
        <f t="shared" si="0"/>
        <v>45</v>
      </c>
      <c r="T51" s="26">
        <v>4</v>
      </c>
      <c r="U51" s="26">
        <v>4</v>
      </c>
      <c r="V51" s="26">
        <v>4</v>
      </c>
      <c r="W51" s="26">
        <v>4</v>
      </c>
      <c r="X51" s="26">
        <v>4</v>
      </c>
      <c r="Y51" s="26">
        <v>4</v>
      </c>
      <c r="Z51" s="28">
        <f t="shared" si="1"/>
        <v>30</v>
      </c>
      <c r="AA51" s="26">
        <v>4</v>
      </c>
      <c r="AB51" s="26">
        <v>4</v>
      </c>
      <c r="AC51" s="26">
        <v>4</v>
      </c>
      <c r="AD51" s="28">
        <f t="shared" si="2"/>
        <v>10</v>
      </c>
      <c r="AE51" s="26">
        <v>4</v>
      </c>
      <c r="AF51" s="26">
        <v>4</v>
      </c>
      <c r="AG51" s="26">
        <v>4</v>
      </c>
      <c r="AH51" s="28">
        <f t="shared" si="3"/>
        <v>10</v>
      </c>
      <c r="AI51" s="26">
        <v>4</v>
      </c>
      <c r="AJ51" s="26">
        <v>4</v>
      </c>
      <c r="AK51" s="28">
        <f t="shared" si="4"/>
        <v>5</v>
      </c>
      <c r="AL51" s="28">
        <f t="shared" si="5"/>
        <v>100</v>
      </c>
      <c r="AM51" s="26"/>
      <c r="AN51" s="25" t="str">
        <f t="shared" si="6"/>
        <v>否</v>
      </c>
      <c r="AO51" s="25" t="str">
        <f t="shared" si="7"/>
        <v>合格</v>
      </c>
      <c r="AP51" s="25" t="str">
        <f t="shared" si="8"/>
        <v>合格</v>
      </c>
      <c r="AQ51" s="25" t="str">
        <f t="shared" si="9"/>
        <v>合格</v>
      </c>
      <c r="AR51" s="25" t="str">
        <f t="shared" si="10"/>
        <v>合格</v>
      </c>
      <c r="AS51" s="25" t="str">
        <f t="shared" si="11"/>
        <v>合格</v>
      </c>
      <c r="AT51" s="25" t="str">
        <f t="shared" si="12"/>
        <v>生产可用</v>
      </c>
      <c r="AU51" s="25"/>
      <c r="AV51" s="29"/>
      <c r="AW51" s="30"/>
    </row>
    <row r="52" ht="202.95" spans="1:49">
      <c r="A52" s="25" t="s">
        <v>525</v>
      </c>
      <c r="B52" s="26" t="s">
        <v>201</v>
      </c>
      <c r="C52" s="26" t="s">
        <v>102</v>
      </c>
      <c r="D52" s="26" t="s">
        <v>473</v>
      </c>
      <c r="E52" s="27" t="s">
        <v>474</v>
      </c>
      <c r="F52" s="26" t="s">
        <v>469</v>
      </c>
      <c r="G52" s="26"/>
      <c r="H52" s="26"/>
      <c r="I52" s="26">
        <v>5</v>
      </c>
      <c r="J52" s="26">
        <v>4</v>
      </c>
      <c r="K52" s="26">
        <v>4</v>
      </c>
      <c r="L52" s="26">
        <v>3</v>
      </c>
      <c r="M52" s="26">
        <v>4</v>
      </c>
      <c r="N52" s="26">
        <v>3</v>
      </c>
      <c r="O52" s="26">
        <v>4</v>
      </c>
      <c r="P52" s="26">
        <v>4</v>
      </c>
      <c r="Q52" s="26">
        <v>4</v>
      </c>
      <c r="R52" s="26">
        <v>3</v>
      </c>
      <c r="S52" s="28">
        <f t="shared" si="0"/>
        <v>39.4</v>
      </c>
      <c r="T52" s="26">
        <v>4</v>
      </c>
      <c r="U52" s="26">
        <v>4</v>
      </c>
      <c r="V52" s="26">
        <v>4</v>
      </c>
      <c r="W52" s="26">
        <v>4</v>
      </c>
      <c r="X52" s="26">
        <v>4</v>
      </c>
      <c r="Y52" s="26">
        <v>4</v>
      </c>
      <c r="Z52" s="28">
        <f t="shared" si="1"/>
        <v>30</v>
      </c>
      <c r="AA52" s="26">
        <v>4</v>
      </c>
      <c r="AB52" s="26">
        <v>3</v>
      </c>
      <c r="AC52" s="26">
        <v>3</v>
      </c>
      <c r="AD52" s="28">
        <f t="shared" si="2"/>
        <v>8.5</v>
      </c>
      <c r="AE52" s="26">
        <v>4</v>
      </c>
      <c r="AF52" s="26">
        <v>4</v>
      </c>
      <c r="AG52" s="26">
        <v>4</v>
      </c>
      <c r="AH52" s="28">
        <f t="shared" si="3"/>
        <v>10</v>
      </c>
      <c r="AI52" s="26">
        <v>4</v>
      </c>
      <c r="AJ52" s="26">
        <v>4</v>
      </c>
      <c r="AK52" s="28">
        <f t="shared" si="4"/>
        <v>5</v>
      </c>
      <c r="AL52" s="28">
        <f t="shared" si="5"/>
        <v>92.9</v>
      </c>
      <c r="AM52" s="26"/>
      <c r="AN52" s="25" t="str">
        <f t="shared" si="6"/>
        <v>否</v>
      </c>
      <c r="AO52" s="25" t="str">
        <f t="shared" si="7"/>
        <v>合格</v>
      </c>
      <c r="AP52" s="25" t="str">
        <f t="shared" si="8"/>
        <v>合格</v>
      </c>
      <c r="AQ52" s="25" t="str">
        <f t="shared" si="9"/>
        <v>合格</v>
      </c>
      <c r="AR52" s="25" t="str">
        <f t="shared" si="10"/>
        <v>合格</v>
      </c>
      <c r="AS52" s="25" t="str">
        <f t="shared" si="11"/>
        <v>合格</v>
      </c>
      <c r="AT52" s="25" t="str">
        <f t="shared" si="12"/>
        <v>生产可用</v>
      </c>
      <c r="AU52" s="25"/>
      <c r="AV52" s="29"/>
      <c r="AW52" s="30"/>
    </row>
    <row r="53" ht="202.95" spans="1:49">
      <c r="A53" s="25" t="s">
        <v>526</v>
      </c>
      <c r="B53" s="26" t="s">
        <v>201</v>
      </c>
      <c r="C53" s="26" t="s">
        <v>102</v>
      </c>
      <c r="D53" s="26" t="s">
        <v>473</v>
      </c>
      <c r="E53" s="27" t="s">
        <v>474</v>
      </c>
      <c r="F53" s="26" t="s">
        <v>471</v>
      </c>
      <c r="G53" s="26"/>
      <c r="H53" s="26"/>
      <c r="I53" s="26">
        <v>5</v>
      </c>
      <c r="J53" s="26">
        <v>4</v>
      </c>
      <c r="K53" s="26">
        <v>4</v>
      </c>
      <c r="L53" s="26">
        <v>3</v>
      </c>
      <c r="M53" s="26">
        <v>4</v>
      </c>
      <c r="N53" s="26">
        <v>3</v>
      </c>
      <c r="O53" s="26">
        <v>4</v>
      </c>
      <c r="P53" s="26">
        <v>4</v>
      </c>
      <c r="Q53" s="26">
        <v>4</v>
      </c>
      <c r="R53" s="26">
        <v>3</v>
      </c>
      <c r="S53" s="28">
        <f t="shared" si="0"/>
        <v>39.4</v>
      </c>
      <c r="T53" s="26">
        <v>4</v>
      </c>
      <c r="U53" s="26">
        <v>4</v>
      </c>
      <c r="V53" s="26">
        <v>4</v>
      </c>
      <c r="W53" s="26">
        <v>4</v>
      </c>
      <c r="X53" s="26">
        <v>4</v>
      </c>
      <c r="Y53" s="26">
        <v>4</v>
      </c>
      <c r="Z53" s="28">
        <f t="shared" si="1"/>
        <v>30</v>
      </c>
      <c r="AA53" s="26">
        <v>4</v>
      </c>
      <c r="AB53" s="26">
        <v>3</v>
      </c>
      <c r="AC53" s="26">
        <v>3</v>
      </c>
      <c r="AD53" s="28">
        <f t="shared" si="2"/>
        <v>8.5</v>
      </c>
      <c r="AE53" s="26">
        <v>4</v>
      </c>
      <c r="AF53" s="26">
        <v>4</v>
      </c>
      <c r="AG53" s="26">
        <v>4</v>
      </c>
      <c r="AH53" s="28">
        <f t="shared" si="3"/>
        <v>10</v>
      </c>
      <c r="AI53" s="26">
        <v>4</v>
      </c>
      <c r="AJ53" s="26">
        <v>4</v>
      </c>
      <c r="AK53" s="28">
        <f t="shared" si="4"/>
        <v>5</v>
      </c>
      <c r="AL53" s="28">
        <f t="shared" si="5"/>
        <v>92.9</v>
      </c>
      <c r="AM53" s="26"/>
      <c r="AN53" s="25" t="str">
        <f t="shared" si="6"/>
        <v>否</v>
      </c>
      <c r="AO53" s="25" t="str">
        <f t="shared" si="7"/>
        <v>合格</v>
      </c>
      <c r="AP53" s="25" t="str">
        <f t="shared" si="8"/>
        <v>合格</v>
      </c>
      <c r="AQ53" s="25" t="str">
        <f t="shared" si="9"/>
        <v>合格</v>
      </c>
      <c r="AR53" s="25" t="str">
        <f t="shared" si="10"/>
        <v>合格</v>
      </c>
      <c r="AS53" s="25" t="str">
        <f t="shared" si="11"/>
        <v>合格</v>
      </c>
      <c r="AT53" s="25" t="str">
        <f t="shared" si="12"/>
        <v>生产可用</v>
      </c>
      <c r="AU53" s="25"/>
      <c r="AV53" s="29"/>
      <c r="AW53" s="30"/>
    </row>
    <row r="54" ht="136.2" spans="1:49">
      <c r="A54" s="25" t="s">
        <v>527</v>
      </c>
      <c r="B54" s="26" t="s">
        <v>201</v>
      </c>
      <c r="C54" s="26" t="s">
        <v>102</v>
      </c>
      <c r="D54" s="26" t="s">
        <v>477</v>
      </c>
      <c r="E54" s="27">
        <v>2.5</v>
      </c>
      <c r="F54" s="26" t="s">
        <v>469</v>
      </c>
      <c r="G54" s="26"/>
      <c r="H54" s="26"/>
      <c r="I54" s="26">
        <v>4</v>
      </c>
      <c r="J54" s="26">
        <v>4</v>
      </c>
      <c r="K54" s="26">
        <v>4</v>
      </c>
      <c r="L54" s="26">
        <v>4</v>
      </c>
      <c r="M54" s="26">
        <v>4</v>
      </c>
      <c r="N54" s="26">
        <v>4</v>
      </c>
      <c r="O54" s="26">
        <v>4</v>
      </c>
      <c r="P54" s="26">
        <v>4</v>
      </c>
      <c r="Q54" s="26">
        <v>4</v>
      </c>
      <c r="R54" s="26">
        <v>4</v>
      </c>
      <c r="S54" s="28">
        <f t="shared" si="0"/>
        <v>42.6</v>
      </c>
      <c r="T54" s="26">
        <v>3</v>
      </c>
      <c r="U54" s="26">
        <v>4</v>
      </c>
      <c r="V54" s="26">
        <v>4</v>
      </c>
      <c r="W54" s="26">
        <v>3</v>
      </c>
      <c r="X54" s="26">
        <v>4</v>
      </c>
      <c r="Y54" s="26">
        <v>3</v>
      </c>
      <c r="Z54" s="28">
        <f t="shared" si="1"/>
        <v>26.5</v>
      </c>
      <c r="AA54" s="26">
        <v>0</v>
      </c>
      <c r="AB54" s="26">
        <v>4</v>
      </c>
      <c r="AC54" s="26">
        <v>4</v>
      </c>
      <c r="AD54" s="28">
        <f t="shared" si="2"/>
        <v>6</v>
      </c>
      <c r="AE54" s="26">
        <v>4</v>
      </c>
      <c r="AF54" s="26">
        <v>4</v>
      </c>
      <c r="AG54" s="26">
        <v>4</v>
      </c>
      <c r="AH54" s="28">
        <f t="shared" si="3"/>
        <v>10</v>
      </c>
      <c r="AI54" s="26">
        <v>4</v>
      </c>
      <c r="AJ54" s="26">
        <v>4</v>
      </c>
      <c r="AK54" s="28">
        <f t="shared" si="4"/>
        <v>5</v>
      </c>
      <c r="AL54" s="28">
        <f t="shared" si="5"/>
        <v>90.1</v>
      </c>
      <c r="AM54" s="26"/>
      <c r="AN54" s="25" t="str">
        <f t="shared" si="6"/>
        <v>否</v>
      </c>
      <c r="AO54" s="25" t="str">
        <f t="shared" si="7"/>
        <v>合格</v>
      </c>
      <c r="AP54" s="25" t="str">
        <f t="shared" si="8"/>
        <v>合格</v>
      </c>
      <c r="AQ54" s="25" t="str">
        <f t="shared" si="9"/>
        <v>临界</v>
      </c>
      <c r="AR54" s="25" t="str">
        <f t="shared" si="10"/>
        <v>合格</v>
      </c>
      <c r="AS54" s="25" t="str">
        <f t="shared" si="11"/>
        <v>合格</v>
      </c>
      <c r="AT54" s="25" t="str">
        <f t="shared" si="12"/>
        <v>待复核</v>
      </c>
      <c r="AU54" s="25"/>
      <c r="AV54" s="29"/>
      <c r="AW54" s="30"/>
    </row>
    <row r="55" ht="136.2" spans="1:49">
      <c r="A55" s="25" t="s">
        <v>528</v>
      </c>
      <c r="B55" s="26" t="s">
        <v>201</v>
      </c>
      <c r="C55" s="26" t="s">
        <v>102</v>
      </c>
      <c r="D55" s="26" t="s">
        <v>477</v>
      </c>
      <c r="E55" s="27">
        <v>2.5</v>
      </c>
      <c r="F55" s="26" t="s">
        <v>471</v>
      </c>
      <c r="G55" s="26"/>
      <c r="H55" s="26"/>
      <c r="I55" s="26">
        <v>4</v>
      </c>
      <c r="J55" s="26">
        <v>4</v>
      </c>
      <c r="K55" s="26">
        <v>4</v>
      </c>
      <c r="L55" s="26">
        <v>4</v>
      </c>
      <c r="M55" s="26">
        <v>4</v>
      </c>
      <c r="N55" s="26">
        <v>4</v>
      </c>
      <c r="O55" s="26">
        <v>4</v>
      </c>
      <c r="P55" s="26">
        <v>4</v>
      </c>
      <c r="Q55" s="26">
        <v>4</v>
      </c>
      <c r="R55" s="26">
        <v>4</v>
      </c>
      <c r="S55" s="28">
        <f t="shared" si="0"/>
        <v>42.6</v>
      </c>
      <c r="T55" s="26">
        <v>3</v>
      </c>
      <c r="U55" s="26">
        <v>4</v>
      </c>
      <c r="V55" s="26">
        <v>4</v>
      </c>
      <c r="W55" s="26">
        <v>3</v>
      </c>
      <c r="X55" s="26">
        <v>4</v>
      </c>
      <c r="Y55" s="26">
        <v>3</v>
      </c>
      <c r="Z55" s="28">
        <f t="shared" si="1"/>
        <v>26.5</v>
      </c>
      <c r="AA55" s="26">
        <v>0</v>
      </c>
      <c r="AB55" s="26">
        <v>4</v>
      </c>
      <c r="AC55" s="26">
        <v>4</v>
      </c>
      <c r="AD55" s="28">
        <f t="shared" si="2"/>
        <v>6</v>
      </c>
      <c r="AE55" s="26">
        <v>4</v>
      </c>
      <c r="AF55" s="26">
        <v>4</v>
      </c>
      <c r="AG55" s="26">
        <v>4</v>
      </c>
      <c r="AH55" s="28">
        <f t="shared" si="3"/>
        <v>10</v>
      </c>
      <c r="AI55" s="26">
        <v>4</v>
      </c>
      <c r="AJ55" s="26">
        <v>4</v>
      </c>
      <c r="AK55" s="28">
        <f t="shared" si="4"/>
        <v>5</v>
      </c>
      <c r="AL55" s="28">
        <f t="shared" si="5"/>
        <v>90.1</v>
      </c>
      <c r="AM55" s="26"/>
      <c r="AN55" s="25" t="str">
        <f t="shared" si="6"/>
        <v>否</v>
      </c>
      <c r="AO55" s="25" t="str">
        <f t="shared" si="7"/>
        <v>合格</v>
      </c>
      <c r="AP55" s="25" t="str">
        <f t="shared" si="8"/>
        <v>合格</v>
      </c>
      <c r="AQ55" s="25" t="str">
        <f t="shared" si="9"/>
        <v>临界</v>
      </c>
      <c r="AR55" s="25" t="str">
        <f t="shared" si="10"/>
        <v>合格</v>
      </c>
      <c r="AS55" s="25" t="str">
        <f t="shared" si="11"/>
        <v>合格</v>
      </c>
      <c r="AT55" s="25" t="str">
        <f t="shared" si="12"/>
        <v>待复核</v>
      </c>
      <c r="AU55" s="25"/>
      <c r="AV55" s="29"/>
      <c r="AW55" s="30"/>
    </row>
    <row r="56" ht="230.95" spans="1:49">
      <c r="A56" s="25" t="s">
        <v>529</v>
      </c>
      <c r="B56" s="26" t="s">
        <v>210</v>
      </c>
      <c r="C56" s="26" t="s">
        <v>109</v>
      </c>
      <c r="D56" s="26" t="s">
        <v>467</v>
      </c>
      <c r="E56" s="27" t="s">
        <v>468</v>
      </c>
      <c r="F56" s="26" t="s">
        <v>469</v>
      </c>
      <c r="G56" s="26"/>
      <c r="H56" s="26"/>
      <c r="I56" s="26">
        <v>5</v>
      </c>
      <c r="J56" s="26">
        <v>5</v>
      </c>
      <c r="K56" s="26">
        <v>3</v>
      </c>
      <c r="L56" s="26">
        <v>3</v>
      </c>
      <c r="M56" s="26">
        <v>4</v>
      </c>
      <c r="N56" s="26">
        <v>4</v>
      </c>
      <c r="O56" s="26">
        <v>3</v>
      </c>
      <c r="P56" s="26">
        <v>4</v>
      </c>
      <c r="Q56" s="26">
        <v>4</v>
      </c>
      <c r="R56" s="26">
        <v>4</v>
      </c>
      <c r="S56" s="28">
        <f t="shared" si="0"/>
        <v>40.4</v>
      </c>
      <c r="T56" s="26">
        <v>4</v>
      </c>
      <c r="U56" s="26">
        <v>4</v>
      </c>
      <c r="V56" s="26">
        <v>4</v>
      </c>
      <c r="W56" s="26">
        <v>4</v>
      </c>
      <c r="X56" s="26">
        <v>4</v>
      </c>
      <c r="Y56" s="26">
        <v>4</v>
      </c>
      <c r="Z56" s="28">
        <f t="shared" si="1"/>
        <v>30</v>
      </c>
      <c r="AA56" s="26">
        <v>4</v>
      </c>
      <c r="AB56" s="26">
        <v>4</v>
      </c>
      <c r="AC56" s="26">
        <v>4</v>
      </c>
      <c r="AD56" s="28">
        <f t="shared" si="2"/>
        <v>10</v>
      </c>
      <c r="AE56" s="26">
        <v>4</v>
      </c>
      <c r="AF56" s="26">
        <v>4</v>
      </c>
      <c r="AG56" s="26">
        <v>4</v>
      </c>
      <c r="AH56" s="28">
        <f t="shared" si="3"/>
        <v>10</v>
      </c>
      <c r="AI56" s="26">
        <v>4</v>
      </c>
      <c r="AJ56" s="26">
        <v>4</v>
      </c>
      <c r="AK56" s="28">
        <f t="shared" si="4"/>
        <v>5</v>
      </c>
      <c r="AL56" s="28">
        <f t="shared" si="5"/>
        <v>95.4</v>
      </c>
      <c r="AM56" s="26"/>
      <c r="AN56" s="25" t="str">
        <f t="shared" si="6"/>
        <v>否</v>
      </c>
      <c r="AO56" s="25" t="str">
        <f t="shared" si="7"/>
        <v>合格</v>
      </c>
      <c r="AP56" s="25" t="str">
        <f t="shared" si="8"/>
        <v>合格</v>
      </c>
      <c r="AQ56" s="25" t="str">
        <f t="shared" si="9"/>
        <v>合格</v>
      </c>
      <c r="AR56" s="25" t="str">
        <f t="shared" si="10"/>
        <v>合格</v>
      </c>
      <c r="AS56" s="25" t="str">
        <f t="shared" si="11"/>
        <v>合格</v>
      </c>
      <c r="AT56" s="25" t="str">
        <f t="shared" si="12"/>
        <v>生产可用</v>
      </c>
      <c r="AU56" s="25"/>
      <c r="AV56" s="29"/>
      <c r="AW56" s="30"/>
    </row>
    <row r="57" ht="230.95" spans="1:49">
      <c r="A57" s="25" t="s">
        <v>530</v>
      </c>
      <c r="B57" s="26" t="s">
        <v>210</v>
      </c>
      <c r="C57" s="26" t="s">
        <v>109</v>
      </c>
      <c r="D57" s="26" t="s">
        <v>467</v>
      </c>
      <c r="E57" s="27" t="s">
        <v>468</v>
      </c>
      <c r="F57" s="26" t="s">
        <v>471</v>
      </c>
      <c r="G57" s="26"/>
      <c r="H57" s="26"/>
      <c r="I57" s="26">
        <v>5</v>
      </c>
      <c r="J57" s="26">
        <v>5</v>
      </c>
      <c r="K57" s="26">
        <v>3</v>
      </c>
      <c r="L57" s="26">
        <v>3</v>
      </c>
      <c r="M57" s="26">
        <v>4</v>
      </c>
      <c r="N57" s="26">
        <v>4</v>
      </c>
      <c r="O57" s="26">
        <v>3</v>
      </c>
      <c r="P57" s="26">
        <v>4</v>
      </c>
      <c r="Q57" s="26">
        <v>4</v>
      </c>
      <c r="R57" s="26">
        <v>4</v>
      </c>
      <c r="S57" s="28">
        <f t="shared" si="0"/>
        <v>40.4</v>
      </c>
      <c r="T57" s="26">
        <v>4</v>
      </c>
      <c r="U57" s="26">
        <v>4</v>
      </c>
      <c r="V57" s="26">
        <v>4</v>
      </c>
      <c r="W57" s="26">
        <v>3</v>
      </c>
      <c r="X57" s="26">
        <v>4</v>
      </c>
      <c r="Y57" s="26">
        <v>4</v>
      </c>
      <c r="Z57" s="28">
        <f t="shared" si="1"/>
        <v>29</v>
      </c>
      <c r="AA57" s="26">
        <v>4</v>
      </c>
      <c r="AB57" s="26">
        <v>4</v>
      </c>
      <c r="AC57" s="26">
        <v>4</v>
      </c>
      <c r="AD57" s="28">
        <f t="shared" si="2"/>
        <v>10</v>
      </c>
      <c r="AE57" s="26">
        <v>4</v>
      </c>
      <c r="AF57" s="26">
        <v>4</v>
      </c>
      <c r="AG57" s="26">
        <v>4</v>
      </c>
      <c r="AH57" s="28">
        <f t="shared" si="3"/>
        <v>10</v>
      </c>
      <c r="AI57" s="26">
        <v>4</v>
      </c>
      <c r="AJ57" s="26">
        <v>4</v>
      </c>
      <c r="AK57" s="28">
        <f t="shared" si="4"/>
        <v>5</v>
      </c>
      <c r="AL57" s="28">
        <f t="shared" si="5"/>
        <v>94.4</v>
      </c>
      <c r="AM57" s="26"/>
      <c r="AN57" s="25" t="str">
        <f t="shared" si="6"/>
        <v>否</v>
      </c>
      <c r="AO57" s="25" t="str">
        <f t="shared" si="7"/>
        <v>合格</v>
      </c>
      <c r="AP57" s="25" t="str">
        <f t="shared" si="8"/>
        <v>合格</v>
      </c>
      <c r="AQ57" s="25" t="str">
        <f t="shared" si="9"/>
        <v>合格</v>
      </c>
      <c r="AR57" s="25" t="str">
        <f t="shared" si="10"/>
        <v>合格</v>
      </c>
      <c r="AS57" s="25" t="str">
        <f t="shared" si="11"/>
        <v>合格</v>
      </c>
      <c r="AT57" s="25" t="str">
        <f t="shared" si="12"/>
        <v>生产可用</v>
      </c>
      <c r="AU57" s="25"/>
      <c r="AV57" s="29"/>
      <c r="AW57" s="30"/>
    </row>
    <row r="58" ht="230.95" spans="1:49">
      <c r="A58" s="25" t="s">
        <v>531</v>
      </c>
      <c r="B58" s="26" t="s">
        <v>210</v>
      </c>
      <c r="C58" s="26" t="s">
        <v>109</v>
      </c>
      <c r="D58" s="26" t="s">
        <v>473</v>
      </c>
      <c r="E58" s="27" t="s">
        <v>474</v>
      </c>
      <c r="F58" s="26" t="s">
        <v>469</v>
      </c>
      <c r="G58" s="26"/>
      <c r="H58" s="26"/>
      <c r="I58" s="26">
        <v>5</v>
      </c>
      <c r="J58" s="26">
        <v>5</v>
      </c>
      <c r="K58" s="26">
        <v>3</v>
      </c>
      <c r="L58" s="26">
        <v>3</v>
      </c>
      <c r="M58" s="26">
        <v>4</v>
      </c>
      <c r="N58" s="26">
        <v>4</v>
      </c>
      <c r="O58" s="26">
        <v>3</v>
      </c>
      <c r="P58" s="26">
        <v>4</v>
      </c>
      <c r="Q58" s="26">
        <v>4</v>
      </c>
      <c r="R58" s="26">
        <v>4</v>
      </c>
      <c r="S58" s="28">
        <f t="shared" si="0"/>
        <v>40.4</v>
      </c>
      <c r="T58" s="26">
        <v>3</v>
      </c>
      <c r="U58" s="26">
        <v>4</v>
      </c>
      <c r="V58" s="26">
        <v>3</v>
      </c>
      <c r="W58" s="26">
        <v>3</v>
      </c>
      <c r="X58" s="26">
        <v>4</v>
      </c>
      <c r="Y58" s="26">
        <v>3</v>
      </c>
      <c r="Z58" s="28">
        <f t="shared" si="1"/>
        <v>25</v>
      </c>
      <c r="AA58" s="26">
        <v>4</v>
      </c>
      <c r="AB58" s="26">
        <v>2</v>
      </c>
      <c r="AC58" s="26">
        <v>3</v>
      </c>
      <c r="AD58" s="28">
        <f t="shared" si="2"/>
        <v>7.75</v>
      </c>
      <c r="AE58" s="26">
        <v>4</v>
      </c>
      <c r="AF58" s="26">
        <v>4</v>
      </c>
      <c r="AG58" s="26">
        <v>4</v>
      </c>
      <c r="AH58" s="28">
        <f t="shared" si="3"/>
        <v>10</v>
      </c>
      <c r="AI58" s="26">
        <v>4</v>
      </c>
      <c r="AJ58" s="26">
        <v>4</v>
      </c>
      <c r="AK58" s="28">
        <f t="shared" si="4"/>
        <v>5</v>
      </c>
      <c r="AL58" s="28">
        <f t="shared" si="5"/>
        <v>88.15</v>
      </c>
      <c r="AM58" s="26"/>
      <c r="AN58" s="25" t="str">
        <f t="shared" si="6"/>
        <v>否</v>
      </c>
      <c r="AO58" s="25" t="str">
        <f t="shared" si="7"/>
        <v>合格</v>
      </c>
      <c r="AP58" s="25" t="str">
        <f t="shared" si="8"/>
        <v>合格</v>
      </c>
      <c r="AQ58" s="25" t="str">
        <f t="shared" si="9"/>
        <v>合格</v>
      </c>
      <c r="AR58" s="25" t="str">
        <f t="shared" si="10"/>
        <v>合格</v>
      </c>
      <c r="AS58" s="25" t="str">
        <f t="shared" si="11"/>
        <v>合格</v>
      </c>
      <c r="AT58" s="25" t="str">
        <f t="shared" si="12"/>
        <v>生产可用</v>
      </c>
      <c r="AU58" s="25"/>
      <c r="AV58" s="29"/>
      <c r="AW58" s="30"/>
    </row>
    <row r="59" ht="230.95" spans="1:49">
      <c r="A59" s="25" t="s">
        <v>532</v>
      </c>
      <c r="B59" s="26" t="s">
        <v>210</v>
      </c>
      <c r="C59" s="26" t="s">
        <v>109</v>
      </c>
      <c r="D59" s="26" t="s">
        <v>473</v>
      </c>
      <c r="E59" s="27" t="s">
        <v>474</v>
      </c>
      <c r="F59" s="26" t="s">
        <v>471</v>
      </c>
      <c r="G59" s="26"/>
      <c r="H59" s="26"/>
      <c r="I59" s="26">
        <v>5</v>
      </c>
      <c r="J59" s="26">
        <v>5</v>
      </c>
      <c r="K59" s="26">
        <v>3</v>
      </c>
      <c r="L59" s="26">
        <v>3</v>
      </c>
      <c r="M59" s="26">
        <v>4</v>
      </c>
      <c r="N59" s="26">
        <v>4</v>
      </c>
      <c r="O59" s="26">
        <v>3</v>
      </c>
      <c r="P59" s="26">
        <v>4</v>
      </c>
      <c r="Q59" s="26">
        <v>4</v>
      </c>
      <c r="R59" s="26">
        <v>4</v>
      </c>
      <c r="S59" s="28">
        <f t="shared" si="0"/>
        <v>40.4</v>
      </c>
      <c r="T59" s="26">
        <v>3</v>
      </c>
      <c r="U59" s="26">
        <v>4</v>
      </c>
      <c r="V59" s="26">
        <v>3</v>
      </c>
      <c r="W59" s="26">
        <v>3</v>
      </c>
      <c r="X59" s="26">
        <v>4</v>
      </c>
      <c r="Y59" s="26">
        <v>3</v>
      </c>
      <c r="Z59" s="28">
        <f t="shared" si="1"/>
        <v>25</v>
      </c>
      <c r="AA59" s="26">
        <v>4</v>
      </c>
      <c r="AB59" s="26">
        <v>2</v>
      </c>
      <c r="AC59" s="26">
        <v>3</v>
      </c>
      <c r="AD59" s="28">
        <f t="shared" si="2"/>
        <v>7.75</v>
      </c>
      <c r="AE59" s="26">
        <v>4</v>
      </c>
      <c r="AF59" s="26">
        <v>4</v>
      </c>
      <c r="AG59" s="26">
        <v>4</v>
      </c>
      <c r="AH59" s="28">
        <f t="shared" si="3"/>
        <v>10</v>
      </c>
      <c r="AI59" s="26">
        <v>4</v>
      </c>
      <c r="AJ59" s="26">
        <v>4</v>
      </c>
      <c r="AK59" s="28">
        <f t="shared" si="4"/>
        <v>5</v>
      </c>
      <c r="AL59" s="28">
        <f t="shared" si="5"/>
        <v>88.15</v>
      </c>
      <c r="AM59" s="26"/>
      <c r="AN59" s="25" t="str">
        <f t="shared" si="6"/>
        <v>否</v>
      </c>
      <c r="AO59" s="25" t="str">
        <f t="shared" si="7"/>
        <v>合格</v>
      </c>
      <c r="AP59" s="25" t="str">
        <f t="shared" si="8"/>
        <v>合格</v>
      </c>
      <c r="AQ59" s="25" t="str">
        <f t="shared" si="9"/>
        <v>合格</v>
      </c>
      <c r="AR59" s="25" t="str">
        <f t="shared" si="10"/>
        <v>合格</v>
      </c>
      <c r="AS59" s="25" t="str">
        <f t="shared" si="11"/>
        <v>合格</v>
      </c>
      <c r="AT59" s="25" t="str">
        <f t="shared" si="12"/>
        <v>生产可用</v>
      </c>
      <c r="AU59" s="25"/>
      <c r="AV59" s="29"/>
      <c r="AW59" s="30"/>
    </row>
    <row r="60" ht="122.7" spans="1:49">
      <c r="A60" s="25" t="s">
        <v>533</v>
      </c>
      <c r="B60" s="26" t="s">
        <v>210</v>
      </c>
      <c r="C60" s="26" t="s">
        <v>109</v>
      </c>
      <c r="D60" s="26" t="s">
        <v>477</v>
      </c>
      <c r="E60" s="27">
        <v>2.5</v>
      </c>
      <c r="F60" s="26" t="s">
        <v>469</v>
      </c>
      <c r="G60" s="26"/>
      <c r="H60" s="26"/>
      <c r="I60" s="26">
        <v>5</v>
      </c>
      <c r="J60" s="26">
        <v>5</v>
      </c>
      <c r="K60" s="26">
        <v>4</v>
      </c>
      <c r="L60" s="26">
        <v>4</v>
      </c>
      <c r="M60" s="26">
        <v>4</v>
      </c>
      <c r="N60" s="26">
        <v>4</v>
      </c>
      <c r="O60" s="26">
        <v>4</v>
      </c>
      <c r="P60" s="26">
        <v>4</v>
      </c>
      <c r="Q60" s="26">
        <v>4</v>
      </c>
      <c r="R60" s="26">
        <v>4</v>
      </c>
      <c r="S60" s="28">
        <f t="shared" si="0"/>
        <v>44.2</v>
      </c>
      <c r="T60" s="26">
        <v>4</v>
      </c>
      <c r="U60" s="26">
        <v>4</v>
      </c>
      <c r="V60" s="26">
        <v>4</v>
      </c>
      <c r="W60" s="26">
        <v>4</v>
      </c>
      <c r="X60" s="26">
        <v>4</v>
      </c>
      <c r="Y60" s="26">
        <v>4</v>
      </c>
      <c r="Z60" s="28">
        <f t="shared" si="1"/>
        <v>30</v>
      </c>
      <c r="AA60" s="26">
        <v>0</v>
      </c>
      <c r="AB60" s="26">
        <v>4</v>
      </c>
      <c r="AC60" s="26">
        <v>4</v>
      </c>
      <c r="AD60" s="28">
        <f t="shared" si="2"/>
        <v>6</v>
      </c>
      <c r="AE60" s="26">
        <v>4</v>
      </c>
      <c r="AF60" s="26">
        <v>4</v>
      </c>
      <c r="AG60" s="26">
        <v>4</v>
      </c>
      <c r="AH60" s="28">
        <f t="shared" si="3"/>
        <v>10</v>
      </c>
      <c r="AI60" s="26">
        <v>4</v>
      </c>
      <c r="AJ60" s="26">
        <v>4</v>
      </c>
      <c r="AK60" s="28">
        <f t="shared" si="4"/>
        <v>5</v>
      </c>
      <c r="AL60" s="28">
        <f t="shared" si="5"/>
        <v>95.2</v>
      </c>
      <c r="AM60" s="26"/>
      <c r="AN60" s="25" t="str">
        <f t="shared" si="6"/>
        <v>否</v>
      </c>
      <c r="AO60" s="25" t="str">
        <f t="shared" si="7"/>
        <v>合格</v>
      </c>
      <c r="AP60" s="25" t="str">
        <f t="shared" si="8"/>
        <v>合格</v>
      </c>
      <c r="AQ60" s="25" t="str">
        <f t="shared" si="9"/>
        <v>临界</v>
      </c>
      <c r="AR60" s="25" t="str">
        <f t="shared" si="10"/>
        <v>合格</v>
      </c>
      <c r="AS60" s="25" t="str">
        <f t="shared" si="11"/>
        <v>合格</v>
      </c>
      <c r="AT60" s="25" t="str">
        <f t="shared" si="12"/>
        <v>待复核</v>
      </c>
      <c r="AU60" s="25"/>
      <c r="AV60" s="29"/>
      <c r="AW60" s="30"/>
    </row>
    <row r="61" ht="122.7" spans="1:49">
      <c r="A61" s="25" t="s">
        <v>534</v>
      </c>
      <c r="B61" s="26" t="s">
        <v>210</v>
      </c>
      <c r="C61" s="26" t="s">
        <v>109</v>
      </c>
      <c r="D61" s="26" t="s">
        <v>477</v>
      </c>
      <c r="E61" s="27">
        <v>2.5</v>
      </c>
      <c r="F61" s="26" t="s">
        <v>471</v>
      </c>
      <c r="G61" s="26"/>
      <c r="H61" s="26"/>
      <c r="I61" s="26">
        <v>5</v>
      </c>
      <c r="J61" s="26">
        <v>5</v>
      </c>
      <c r="K61" s="26">
        <v>4</v>
      </c>
      <c r="L61" s="26">
        <v>4</v>
      </c>
      <c r="M61" s="26">
        <v>4</v>
      </c>
      <c r="N61" s="26">
        <v>4</v>
      </c>
      <c r="O61" s="26">
        <v>4</v>
      </c>
      <c r="P61" s="26">
        <v>4</v>
      </c>
      <c r="Q61" s="26">
        <v>4</v>
      </c>
      <c r="R61" s="26">
        <v>4</v>
      </c>
      <c r="S61" s="28">
        <f t="shared" si="0"/>
        <v>44.2</v>
      </c>
      <c r="T61" s="26">
        <v>4</v>
      </c>
      <c r="U61" s="26">
        <v>4</v>
      </c>
      <c r="V61" s="26">
        <v>4</v>
      </c>
      <c r="W61" s="26">
        <v>4</v>
      </c>
      <c r="X61" s="26">
        <v>4</v>
      </c>
      <c r="Y61" s="26">
        <v>4</v>
      </c>
      <c r="Z61" s="28">
        <f t="shared" si="1"/>
        <v>30</v>
      </c>
      <c r="AA61" s="26">
        <v>0</v>
      </c>
      <c r="AB61" s="26">
        <v>4</v>
      </c>
      <c r="AC61" s="26">
        <v>4</v>
      </c>
      <c r="AD61" s="28">
        <f t="shared" si="2"/>
        <v>6</v>
      </c>
      <c r="AE61" s="26">
        <v>4</v>
      </c>
      <c r="AF61" s="26">
        <v>4</v>
      </c>
      <c r="AG61" s="26">
        <v>4</v>
      </c>
      <c r="AH61" s="28">
        <f t="shared" si="3"/>
        <v>10</v>
      </c>
      <c r="AI61" s="26">
        <v>4</v>
      </c>
      <c r="AJ61" s="26">
        <v>4</v>
      </c>
      <c r="AK61" s="28">
        <f t="shared" si="4"/>
        <v>5</v>
      </c>
      <c r="AL61" s="28">
        <f t="shared" si="5"/>
        <v>95.2</v>
      </c>
      <c r="AM61" s="26"/>
      <c r="AN61" s="25" t="str">
        <f t="shared" si="6"/>
        <v>否</v>
      </c>
      <c r="AO61" s="25" t="str">
        <f t="shared" si="7"/>
        <v>合格</v>
      </c>
      <c r="AP61" s="25" t="str">
        <f t="shared" si="8"/>
        <v>合格</v>
      </c>
      <c r="AQ61" s="25" t="str">
        <f t="shared" si="9"/>
        <v>临界</v>
      </c>
      <c r="AR61" s="25" t="str">
        <f t="shared" si="10"/>
        <v>合格</v>
      </c>
      <c r="AS61" s="25" t="str">
        <f t="shared" si="11"/>
        <v>合格</v>
      </c>
      <c r="AT61" s="25" t="str">
        <f t="shared" si="12"/>
        <v>待复核</v>
      </c>
      <c r="AU61" s="25"/>
      <c r="AV61" s="29"/>
      <c r="AW61" s="30"/>
    </row>
  </sheetData>
  <conditionalFormatting sqref="S2:S6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Z2:Z6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D2:AD61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H2:AH61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K2:AK61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L2:AL61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O2:AO61">
    <cfRule type="expression" dxfId="0" priority="9">
      <formula>AO2="不合格"</formula>
    </cfRule>
    <cfRule type="expression" dxfId="1" priority="8">
      <formula>AO2="临界"</formula>
    </cfRule>
    <cfRule type="expression" dxfId="2" priority="7">
      <formula>AO2="合格"</formula>
    </cfRule>
  </conditionalFormatting>
  <conditionalFormatting sqref="AP2:AP61">
    <cfRule type="expression" dxfId="0" priority="12">
      <formula>AP2="不合格"</formula>
    </cfRule>
    <cfRule type="expression" dxfId="1" priority="11">
      <formula>AP2="临界"</formula>
    </cfRule>
    <cfRule type="expression" dxfId="2" priority="10">
      <formula>AP2="合格"</formula>
    </cfRule>
  </conditionalFormatting>
  <conditionalFormatting sqref="AQ2:AQ61">
    <cfRule type="expression" dxfId="0" priority="15">
      <formula>AQ2="不合格"</formula>
    </cfRule>
    <cfRule type="expression" dxfId="1" priority="14">
      <formula>AQ2="临界"</formula>
    </cfRule>
    <cfRule type="expression" dxfId="2" priority="13">
      <formula>AQ2="合格"</formula>
    </cfRule>
  </conditionalFormatting>
  <conditionalFormatting sqref="AR2:AR61">
    <cfRule type="expression" dxfId="0" priority="18">
      <formula>AR2="不合格"</formula>
    </cfRule>
    <cfRule type="expression" dxfId="1" priority="17">
      <formula>AR2="临界"</formula>
    </cfRule>
    <cfRule type="expression" dxfId="2" priority="16">
      <formula>AR2="合格"</formula>
    </cfRule>
  </conditionalFormatting>
  <conditionalFormatting sqref="AS2:AS61">
    <cfRule type="expression" dxfId="0" priority="21">
      <formula>AS2="不合格"</formula>
    </cfRule>
    <cfRule type="expression" dxfId="1" priority="20">
      <formula>AS2="临界"</formula>
    </cfRule>
    <cfRule type="expression" dxfId="2" priority="19">
      <formula>AS2="合格"</formula>
    </cfRule>
  </conditionalFormatting>
  <conditionalFormatting sqref="AT2:AT61">
    <cfRule type="expression" dxfId="0" priority="24">
      <formula>OR(AT2="不可用",AT2="严重失败")</formula>
    </cfRule>
    <cfRule type="expression" dxfId="1" priority="23">
      <formula>AT2="待复核"</formula>
    </cfRule>
    <cfRule type="expression" dxfId="2" priority="22">
      <formula>AT2="生产可用"</formula>
    </cfRule>
  </conditionalFormatting>
  <dataValidations count="3">
    <dataValidation type="list" sqref="AM2:AM61">
      <formula1>",物种错误,品种完全错误,主要毛色完全错误,多个关键身份特征完全丢失,核心环境完全错误,核心纪念元素严重错误/缺失,多肢/少肢/多头,面部严重崩坏,身体严重融合/断裂,未经要求的墓碑/墓地/RIP等死亡叙事,尸体/伤口/明显病痛,恐怖/极端痛苦内容,强烈宗教/升天叙事,完全拟人化导致宠物身份消失,其他严重失败"</formula1>
    </dataValidation>
    <dataValidation type="list" sqref="I2:K61">
      <formula1>"0,1,2,3,4,5"</formula1>
    </dataValidation>
    <dataValidation type="list" sqref="AA2:AC61 L2:R61 T2:Y61 AE2:AG61 AI2:AJ61">
      <formula1>"0,1,2,3,4"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1"/>
  <sheetViews>
    <sheetView workbookViewId="0">
      <selection activeCell="A1" sqref="$A1:$XFD1"/>
    </sheetView>
  </sheetViews>
  <sheetFormatPr defaultColWidth="9" defaultRowHeight="16.8"/>
  <cols>
    <col min="1" max="3" width="10" customWidth="1"/>
    <col min="4" max="4" width="17" customWidth="1"/>
    <col min="5" max="5" width="14" customWidth="1"/>
    <col min="6" max="6" width="9" customWidth="1"/>
    <col min="7" max="7" width="24" customWidth="1"/>
    <col min="8" max="8" width="12" customWidth="1"/>
    <col min="9" max="11" width="9" customWidth="1"/>
    <col min="12" max="12" width="10" customWidth="1"/>
    <col min="13" max="13" width="8" customWidth="1"/>
    <col min="14" max="15" width="10" customWidth="1"/>
    <col min="16" max="16" width="8" customWidth="1"/>
    <col min="17" max="17" width="9" customWidth="1"/>
    <col min="18" max="18" width="10" customWidth="1"/>
    <col min="19" max="19" width="11" customWidth="1"/>
    <col min="20" max="25" width="10" customWidth="1"/>
    <col min="26" max="27" width="11" customWidth="1"/>
    <col min="28" max="29" width="10" customWidth="1"/>
    <col min="30" max="30" width="13" customWidth="1"/>
    <col min="31" max="33" width="10" customWidth="1"/>
    <col min="34" max="34" width="11" customWidth="1"/>
    <col min="35" max="35" width="12" customWidth="1"/>
    <col min="36" max="36" width="11" customWidth="1"/>
    <col min="37" max="38" width="10" customWidth="1"/>
    <col min="39" max="39" width="28" customWidth="1"/>
    <col min="40" max="45" width="10" customWidth="1"/>
    <col min="46" max="48" width="12" customWidth="1"/>
    <col min="49" max="49" width="24" customWidth="1"/>
  </cols>
  <sheetData>
    <row r="1" ht="50" customHeight="1" spans="1:49">
      <c r="A1" s="2" t="s">
        <v>420</v>
      </c>
      <c r="B1" s="2" t="s">
        <v>116</v>
      </c>
      <c r="C1" s="2" t="s">
        <v>39</v>
      </c>
      <c r="D1" s="2" t="s">
        <v>421</v>
      </c>
      <c r="E1" s="2" t="s">
        <v>422</v>
      </c>
      <c r="F1" s="2" t="s">
        <v>423</v>
      </c>
      <c r="G1" s="2" t="s">
        <v>424</v>
      </c>
      <c r="H1" s="2" t="s">
        <v>425</v>
      </c>
      <c r="I1" s="2" t="s">
        <v>426</v>
      </c>
      <c r="J1" s="2" t="s">
        <v>427</v>
      </c>
      <c r="K1" s="2" t="s">
        <v>428</v>
      </c>
      <c r="L1" s="2" t="s">
        <v>429</v>
      </c>
      <c r="M1" s="2" t="s">
        <v>430</v>
      </c>
      <c r="N1" s="2" t="s">
        <v>431</v>
      </c>
      <c r="O1" s="2" t="s">
        <v>432</v>
      </c>
      <c r="P1" s="2" t="s">
        <v>433</v>
      </c>
      <c r="Q1" s="2" t="s">
        <v>434</v>
      </c>
      <c r="R1" s="2" t="s">
        <v>435</v>
      </c>
      <c r="S1" s="2" t="s">
        <v>436</v>
      </c>
      <c r="T1" s="2" t="s">
        <v>437</v>
      </c>
      <c r="U1" s="2" t="s">
        <v>438</v>
      </c>
      <c r="V1" s="2" t="s">
        <v>439</v>
      </c>
      <c r="W1" s="2" t="s">
        <v>440</v>
      </c>
      <c r="X1" s="2" t="s">
        <v>441</v>
      </c>
      <c r="Y1" s="2" t="s">
        <v>442</v>
      </c>
      <c r="Z1" s="2" t="s">
        <v>443</v>
      </c>
      <c r="AA1" s="2" t="s">
        <v>444</v>
      </c>
      <c r="AB1" s="2" t="s">
        <v>445</v>
      </c>
      <c r="AC1" s="2" t="s">
        <v>446</v>
      </c>
      <c r="AD1" s="2" t="s">
        <v>447</v>
      </c>
      <c r="AE1" s="2" t="s">
        <v>448</v>
      </c>
      <c r="AF1" s="2" t="s">
        <v>449</v>
      </c>
      <c r="AG1" s="2" t="s">
        <v>450</v>
      </c>
      <c r="AH1" s="2" t="s">
        <v>451</v>
      </c>
      <c r="AI1" s="2" t="s">
        <v>452</v>
      </c>
      <c r="AJ1" s="2" t="s">
        <v>453</v>
      </c>
      <c r="AK1" s="2" t="s">
        <v>454</v>
      </c>
      <c r="AL1" s="2" t="s">
        <v>455</v>
      </c>
      <c r="AM1" s="2" t="s">
        <v>456</v>
      </c>
      <c r="AN1" s="2" t="s">
        <v>457</v>
      </c>
      <c r="AO1" s="2" t="s">
        <v>458</v>
      </c>
      <c r="AP1" s="2" t="s">
        <v>459</v>
      </c>
      <c r="AQ1" s="2" t="s">
        <v>460</v>
      </c>
      <c r="AR1" s="2" t="s">
        <v>461</v>
      </c>
      <c r="AS1" s="2" t="s">
        <v>462</v>
      </c>
      <c r="AT1" s="2" t="s">
        <v>463</v>
      </c>
      <c r="AU1" s="2" t="s">
        <v>464</v>
      </c>
      <c r="AV1" s="2" t="s">
        <v>465</v>
      </c>
      <c r="AW1" s="2" t="s">
        <v>125</v>
      </c>
    </row>
    <row r="2" ht="34" spans="1:49">
      <c r="A2" s="25" t="s">
        <v>466</v>
      </c>
      <c r="B2" s="26" t="s">
        <v>126</v>
      </c>
      <c r="C2" s="26" t="s">
        <v>46</v>
      </c>
      <c r="D2" s="26" t="s">
        <v>467</v>
      </c>
      <c r="E2" s="27" t="s">
        <v>468</v>
      </c>
      <c r="F2" s="26" t="s">
        <v>469</v>
      </c>
      <c r="G2" s="26"/>
      <c r="H2" s="26"/>
      <c r="I2" s="26">
        <v>4</v>
      </c>
      <c r="J2" s="26">
        <v>4</v>
      </c>
      <c r="K2" s="26">
        <v>4</v>
      </c>
      <c r="L2" s="26">
        <v>3</v>
      </c>
      <c r="M2" s="26">
        <v>3</v>
      </c>
      <c r="N2" s="26">
        <v>3</v>
      </c>
      <c r="O2" s="26">
        <v>3</v>
      </c>
      <c r="P2" s="26">
        <v>3</v>
      </c>
      <c r="Q2" s="26">
        <v>4</v>
      </c>
      <c r="R2" s="26">
        <v>3</v>
      </c>
      <c r="S2" s="28">
        <f t="shared" ref="S2:S61" si="0">IF(COUNTA(I2:R2)=0,"",I2/5*4+J2/5*4+K2/5*4+L2/4*8+M2/4*5+N2/4*6+O2/4*4+P2/4*4+Q2/4*4+R2/4*2)</f>
        <v>35.35</v>
      </c>
      <c r="T2" s="26">
        <v>4</v>
      </c>
      <c r="U2" s="26">
        <v>4</v>
      </c>
      <c r="V2" s="26">
        <v>4</v>
      </c>
      <c r="W2" s="26">
        <v>4</v>
      </c>
      <c r="X2" s="26">
        <v>4</v>
      </c>
      <c r="Y2" s="26">
        <v>4</v>
      </c>
      <c r="Z2" s="28">
        <f t="shared" ref="Z2:Z61" si="1">IF(COUNTA(T2:Y2)=0,"",T2/4*7+U2/4*6+V2/4*6+W2/4*4+X2/4*4+Y2/4*3)</f>
        <v>30</v>
      </c>
      <c r="AA2" s="26">
        <v>4</v>
      </c>
      <c r="AB2" s="26">
        <v>4</v>
      </c>
      <c r="AC2" s="26">
        <v>4</v>
      </c>
      <c r="AD2" s="28">
        <f t="shared" ref="AD2:AD61" si="2">IF(COUNTA(AA2:AC2)=0,"",AA2/4*4+AB2/4*3+AC2/4*3)</f>
        <v>10</v>
      </c>
      <c r="AE2" s="26">
        <v>4</v>
      </c>
      <c r="AF2" s="26">
        <v>4</v>
      </c>
      <c r="AG2" s="26">
        <v>4</v>
      </c>
      <c r="AH2" s="28">
        <f t="shared" ref="AH2:AH61" si="3">IF(COUNTA(AE2:AG2)=0,"",AE2/4*4+AF2/4*3+AG2/4*3)</f>
        <v>10</v>
      </c>
      <c r="AI2" s="26">
        <v>4</v>
      </c>
      <c r="AJ2" s="26">
        <v>3</v>
      </c>
      <c r="AK2" s="28">
        <f t="shared" ref="AK2:AK61" si="4">IF(COUNTA(AI2:AJ2)=0,"",AI2/4*3+AJ2/4*2)</f>
        <v>4.5</v>
      </c>
      <c r="AL2" s="28">
        <f t="shared" ref="AL2:AL61" si="5">IF(COUNTA(S2,Z2,AD2,AH2,AK2)&lt;5,"",SUM(S2,Z2,AD2,AH2,AK2))</f>
        <v>89.85</v>
      </c>
      <c r="AM2" s="26"/>
      <c r="AN2" s="25" t="str">
        <f t="shared" ref="AN2:AN61" si="6">IF(AM2="","否","是")</f>
        <v>否</v>
      </c>
      <c r="AO2" s="25" t="str">
        <f t="shared" ref="AO2:AO61" si="7">IF(S2="","",IF(S2&gt;=36,"合格",IF(S2&gt;=31.5,"临界","不合格")))</f>
        <v>临界</v>
      </c>
      <c r="AP2" s="25" t="str">
        <f t="shared" ref="AP2:AP61" si="8">IF(Z2="","",IF(Z2&gt;=21,"合格",IF(Z2&gt;=18,"临界","不合格")))</f>
        <v>合格</v>
      </c>
      <c r="AQ2" s="25" t="str">
        <f t="shared" ref="AQ2:AQ61" si="9">IF(AD2="","",IF(AD2&gt;=7,"合格",IF(AD2&gt;=6,"临界","不合格")))</f>
        <v>合格</v>
      </c>
      <c r="AR2" s="25" t="str">
        <f t="shared" ref="AR2:AR61" si="10">IF(AH2="","",IF(AH2&gt;=7,"合格",IF(AH2&gt;=6,"临界","不合格")))</f>
        <v>合格</v>
      </c>
      <c r="AS2" s="25" t="str">
        <f t="shared" ref="AS2:AS61" si="11">IF(AK2="","",IF(AK2&gt;=4,"合格",IF(AK2&gt;=3,"临界","不合格")))</f>
        <v>合格</v>
      </c>
      <c r="AT2" s="25" t="str">
        <f t="shared" ref="AT2:AT61" si="12">IF(AL2="","",IF(AN2="是","严重失败",IF(AND(S2&gt;=36,Z2&gt;=21,AD2&gt;=7,AH2&gt;=7,AK2&gt;=4,AL2&gt;=80),"生产可用",IF(OR(S2&lt;31.5,Z2&lt;18,AD2&lt;6,AH2&lt;6,AK2&lt;3),"不可用","待复核"))))</f>
        <v>待复核</v>
      </c>
      <c r="AU2" s="25"/>
      <c r="AV2" s="29"/>
      <c r="AW2" s="30"/>
    </row>
    <row r="3" ht="34" spans="1:49">
      <c r="A3" s="25" t="s">
        <v>470</v>
      </c>
      <c r="B3" s="26" t="s">
        <v>126</v>
      </c>
      <c r="C3" s="26" t="s">
        <v>46</v>
      </c>
      <c r="D3" s="26" t="s">
        <v>467</v>
      </c>
      <c r="E3" s="27" t="s">
        <v>468</v>
      </c>
      <c r="F3" s="26" t="s">
        <v>471</v>
      </c>
      <c r="G3" s="26"/>
      <c r="H3" s="26"/>
      <c r="I3" s="26">
        <v>4</v>
      </c>
      <c r="J3" s="26">
        <v>4</v>
      </c>
      <c r="K3" s="26">
        <v>4</v>
      </c>
      <c r="L3" s="26">
        <v>3</v>
      </c>
      <c r="M3" s="26">
        <v>4</v>
      </c>
      <c r="N3" s="26">
        <v>3</v>
      </c>
      <c r="O3" s="26">
        <v>3</v>
      </c>
      <c r="P3" s="26">
        <v>3</v>
      </c>
      <c r="Q3" s="26">
        <v>4</v>
      </c>
      <c r="R3" s="26">
        <v>3</v>
      </c>
      <c r="S3" s="28">
        <f t="shared" si="0"/>
        <v>36.6</v>
      </c>
      <c r="T3" s="26">
        <v>4</v>
      </c>
      <c r="U3" s="26">
        <v>4</v>
      </c>
      <c r="V3" s="26">
        <v>4</v>
      </c>
      <c r="W3" s="26">
        <v>4</v>
      </c>
      <c r="X3" s="26">
        <v>3</v>
      </c>
      <c r="Y3" s="26">
        <v>4</v>
      </c>
      <c r="Z3" s="28">
        <f t="shared" si="1"/>
        <v>29</v>
      </c>
      <c r="AA3" s="26">
        <v>4</v>
      </c>
      <c r="AB3" s="26">
        <v>4</v>
      </c>
      <c r="AC3" s="26">
        <v>3</v>
      </c>
      <c r="AD3" s="28">
        <f t="shared" si="2"/>
        <v>9.25</v>
      </c>
      <c r="AE3" s="26">
        <v>4</v>
      </c>
      <c r="AF3" s="26">
        <v>4</v>
      </c>
      <c r="AG3" s="26">
        <v>4</v>
      </c>
      <c r="AH3" s="28">
        <f t="shared" si="3"/>
        <v>10</v>
      </c>
      <c r="AI3" s="26">
        <v>4</v>
      </c>
      <c r="AJ3" s="26">
        <v>3</v>
      </c>
      <c r="AK3" s="28">
        <f t="shared" si="4"/>
        <v>4.5</v>
      </c>
      <c r="AL3" s="28">
        <f t="shared" si="5"/>
        <v>89.35</v>
      </c>
      <c r="AM3" s="26"/>
      <c r="AN3" s="25" t="str">
        <f t="shared" si="6"/>
        <v>否</v>
      </c>
      <c r="AO3" s="25" t="str">
        <f t="shared" si="7"/>
        <v>合格</v>
      </c>
      <c r="AP3" s="25" t="str">
        <f t="shared" si="8"/>
        <v>合格</v>
      </c>
      <c r="AQ3" s="25" t="str">
        <f t="shared" si="9"/>
        <v>合格</v>
      </c>
      <c r="AR3" s="25" t="str">
        <f t="shared" si="10"/>
        <v>合格</v>
      </c>
      <c r="AS3" s="25" t="str">
        <f t="shared" si="11"/>
        <v>合格</v>
      </c>
      <c r="AT3" s="25" t="str">
        <f t="shared" si="12"/>
        <v>生产可用</v>
      </c>
      <c r="AU3" s="25"/>
      <c r="AV3" s="29"/>
      <c r="AW3" s="30"/>
    </row>
    <row r="4" ht="34" spans="1:49">
      <c r="A4" s="25" t="s">
        <v>472</v>
      </c>
      <c r="B4" s="26" t="s">
        <v>126</v>
      </c>
      <c r="C4" s="26" t="s">
        <v>46</v>
      </c>
      <c r="D4" s="26" t="s">
        <v>473</v>
      </c>
      <c r="E4" s="27" t="s">
        <v>474</v>
      </c>
      <c r="F4" s="26" t="s">
        <v>469</v>
      </c>
      <c r="G4" s="26"/>
      <c r="H4" s="26"/>
      <c r="I4" s="26">
        <v>4</v>
      </c>
      <c r="J4" s="26">
        <v>3</v>
      </c>
      <c r="K4" s="26">
        <v>4</v>
      </c>
      <c r="L4" s="26">
        <v>2</v>
      </c>
      <c r="M4" s="26">
        <v>4</v>
      </c>
      <c r="N4" s="26">
        <v>3</v>
      </c>
      <c r="O4" s="26">
        <v>3</v>
      </c>
      <c r="P4" s="26">
        <v>3</v>
      </c>
      <c r="Q4" s="26">
        <v>4</v>
      </c>
      <c r="R4" s="26">
        <v>3</v>
      </c>
      <c r="S4" s="28">
        <f t="shared" si="0"/>
        <v>33.8</v>
      </c>
      <c r="T4" s="26">
        <v>4</v>
      </c>
      <c r="U4" s="26">
        <v>4</v>
      </c>
      <c r="V4" s="26">
        <v>4</v>
      </c>
      <c r="W4" s="26">
        <v>4</v>
      </c>
      <c r="X4" s="26">
        <v>4</v>
      </c>
      <c r="Y4" s="26">
        <v>4</v>
      </c>
      <c r="Z4" s="28">
        <f t="shared" si="1"/>
        <v>30</v>
      </c>
      <c r="AA4" s="26">
        <v>4</v>
      </c>
      <c r="AB4" s="26">
        <v>4</v>
      </c>
      <c r="AC4" s="26">
        <v>4</v>
      </c>
      <c r="AD4" s="28">
        <f t="shared" si="2"/>
        <v>10</v>
      </c>
      <c r="AE4" s="26">
        <v>4</v>
      </c>
      <c r="AF4" s="26">
        <v>4</v>
      </c>
      <c r="AG4" s="26">
        <v>3</v>
      </c>
      <c r="AH4" s="28">
        <f t="shared" si="3"/>
        <v>9.25</v>
      </c>
      <c r="AI4" s="26">
        <v>4</v>
      </c>
      <c r="AJ4" s="26">
        <v>4</v>
      </c>
      <c r="AK4" s="28">
        <f t="shared" si="4"/>
        <v>5</v>
      </c>
      <c r="AL4" s="28">
        <f t="shared" si="5"/>
        <v>88.05</v>
      </c>
      <c r="AM4" s="26"/>
      <c r="AN4" s="25" t="str">
        <f t="shared" si="6"/>
        <v>否</v>
      </c>
      <c r="AO4" s="25" t="str">
        <f t="shared" si="7"/>
        <v>临界</v>
      </c>
      <c r="AP4" s="25" t="str">
        <f t="shared" si="8"/>
        <v>合格</v>
      </c>
      <c r="AQ4" s="25" t="str">
        <f t="shared" si="9"/>
        <v>合格</v>
      </c>
      <c r="AR4" s="25" t="str">
        <f t="shared" si="10"/>
        <v>合格</v>
      </c>
      <c r="AS4" s="25" t="str">
        <f t="shared" si="11"/>
        <v>合格</v>
      </c>
      <c r="AT4" s="25" t="str">
        <f t="shared" si="12"/>
        <v>待复核</v>
      </c>
      <c r="AU4" s="25"/>
      <c r="AV4" s="29"/>
      <c r="AW4" s="30" t="s">
        <v>535</v>
      </c>
    </row>
    <row r="5" ht="34" spans="1:49">
      <c r="A5" s="25" t="s">
        <v>475</v>
      </c>
      <c r="B5" s="26" t="s">
        <v>126</v>
      </c>
      <c r="C5" s="26" t="s">
        <v>46</v>
      </c>
      <c r="D5" s="26" t="s">
        <v>473</v>
      </c>
      <c r="E5" s="27" t="s">
        <v>474</v>
      </c>
      <c r="F5" s="26" t="s">
        <v>471</v>
      </c>
      <c r="G5" s="26"/>
      <c r="H5" s="26"/>
      <c r="I5" s="26">
        <v>4</v>
      </c>
      <c r="J5" s="26">
        <v>4</v>
      </c>
      <c r="K5" s="26">
        <v>4</v>
      </c>
      <c r="L5" s="26">
        <v>3</v>
      </c>
      <c r="M5" s="26">
        <v>4</v>
      </c>
      <c r="N5" s="26">
        <v>3</v>
      </c>
      <c r="O5" s="26">
        <v>3</v>
      </c>
      <c r="P5" s="26">
        <v>3</v>
      </c>
      <c r="Q5" s="26">
        <v>4</v>
      </c>
      <c r="R5" s="26">
        <v>3</v>
      </c>
      <c r="S5" s="28">
        <f t="shared" si="0"/>
        <v>36.6</v>
      </c>
      <c r="T5" s="26">
        <v>4</v>
      </c>
      <c r="U5" s="26">
        <v>4</v>
      </c>
      <c r="V5" s="26">
        <v>4</v>
      </c>
      <c r="W5" s="26">
        <v>4</v>
      </c>
      <c r="X5" s="26">
        <v>4</v>
      </c>
      <c r="Y5" s="26">
        <v>4</v>
      </c>
      <c r="Z5" s="28">
        <f t="shared" si="1"/>
        <v>30</v>
      </c>
      <c r="AA5" s="26">
        <v>4</v>
      </c>
      <c r="AB5" s="26">
        <v>4</v>
      </c>
      <c r="AC5" s="26">
        <v>4</v>
      </c>
      <c r="AD5" s="28">
        <f t="shared" si="2"/>
        <v>10</v>
      </c>
      <c r="AE5" s="26">
        <v>4</v>
      </c>
      <c r="AF5" s="26">
        <v>4</v>
      </c>
      <c r="AG5" s="26">
        <v>3</v>
      </c>
      <c r="AH5" s="28">
        <f t="shared" si="3"/>
        <v>9.25</v>
      </c>
      <c r="AI5" s="26">
        <v>4</v>
      </c>
      <c r="AJ5" s="26">
        <v>3</v>
      </c>
      <c r="AK5" s="28">
        <f t="shared" si="4"/>
        <v>4.5</v>
      </c>
      <c r="AL5" s="28">
        <f t="shared" si="5"/>
        <v>90.35</v>
      </c>
      <c r="AM5" s="26"/>
      <c r="AN5" s="25" t="str">
        <f t="shared" si="6"/>
        <v>否</v>
      </c>
      <c r="AO5" s="25" t="str">
        <f t="shared" si="7"/>
        <v>合格</v>
      </c>
      <c r="AP5" s="25" t="str">
        <f t="shared" si="8"/>
        <v>合格</v>
      </c>
      <c r="AQ5" s="25" t="str">
        <f t="shared" si="9"/>
        <v>合格</v>
      </c>
      <c r="AR5" s="25" t="str">
        <f t="shared" si="10"/>
        <v>合格</v>
      </c>
      <c r="AS5" s="25" t="str">
        <f t="shared" si="11"/>
        <v>合格</v>
      </c>
      <c r="AT5" s="25" t="str">
        <f t="shared" si="12"/>
        <v>生产可用</v>
      </c>
      <c r="AU5" s="25"/>
      <c r="AV5" s="29"/>
      <c r="AW5" s="30" t="s">
        <v>535</v>
      </c>
    </row>
    <row r="6" ht="34" spans="1:49">
      <c r="A6" s="25" t="s">
        <v>476</v>
      </c>
      <c r="B6" s="26" t="s">
        <v>126</v>
      </c>
      <c r="C6" s="26" t="s">
        <v>46</v>
      </c>
      <c r="D6" s="26" t="s">
        <v>477</v>
      </c>
      <c r="E6" s="27">
        <v>2.5</v>
      </c>
      <c r="F6" s="26" t="s">
        <v>469</v>
      </c>
      <c r="G6" s="26"/>
      <c r="H6" s="26"/>
      <c r="I6" s="26">
        <v>5</v>
      </c>
      <c r="J6" s="26">
        <v>5</v>
      </c>
      <c r="K6" s="26">
        <v>4</v>
      </c>
      <c r="L6" s="26">
        <v>4</v>
      </c>
      <c r="M6" s="26">
        <v>4</v>
      </c>
      <c r="N6" s="26">
        <v>4</v>
      </c>
      <c r="O6" s="26">
        <v>4</v>
      </c>
      <c r="P6" s="26">
        <v>4</v>
      </c>
      <c r="Q6" s="26">
        <v>4</v>
      </c>
      <c r="R6" s="26">
        <v>4</v>
      </c>
      <c r="S6" s="28">
        <f t="shared" si="0"/>
        <v>44.2</v>
      </c>
      <c r="T6" s="26">
        <v>4</v>
      </c>
      <c r="U6" s="26">
        <v>4</v>
      </c>
      <c r="V6" s="26">
        <v>4</v>
      </c>
      <c r="W6" s="26">
        <v>4</v>
      </c>
      <c r="X6" s="26">
        <v>4</v>
      </c>
      <c r="Y6" s="26">
        <v>4</v>
      </c>
      <c r="Z6" s="28">
        <f t="shared" si="1"/>
        <v>30</v>
      </c>
      <c r="AA6" s="26">
        <v>2</v>
      </c>
      <c r="AB6" s="26">
        <v>3</v>
      </c>
      <c r="AC6" s="26">
        <v>4</v>
      </c>
      <c r="AD6" s="28">
        <f t="shared" si="2"/>
        <v>7.25</v>
      </c>
      <c r="AE6" s="26">
        <v>4</v>
      </c>
      <c r="AF6" s="26">
        <v>4</v>
      </c>
      <c r="AG6" s="26">
        <v>4</v>
      </c>
      <c r="AH6" s="28">
        <f t="shared" si="3"/>
        <v>10</v>
      </c>
      <c r="AI6" s="26">
        <v>4</v>
      </c>
      <c r="AJ6" s="26">
        <v>3</v>
      </c>
      <c r="AK6" s="28">
        <f t="shared" si="4"/>
        <v>4.5</v>
      </c>
      <c r="AL6" s="28">
        <f t="shared" si="5"/>
        <v>95.95</v>
      </c>
      <c r="AM6" s="26"/>
      <c r="AN6" s="25" t="str">
        <f t="shared" si="6"/>
        <v>否</v>
      </c>
      <c r="AO6" s="25" t="str">
        <f t="shared" si="7"/>
        <v>合格</v>
      </c>
      <c r="AP6" s="25" t="str">
        <f t="shared" si="8"/>
        <v>合格</v>
      </c>
      <c r="AQ6" s="25" t="str">
        <f t="shared" si="9"/>
        <v>合格</v>
      </c>
      <c r="AR6" s="25" t="str">
        <f t="shared" si="10"/>
        <v>合格</v>
      </c>
      <c r="AS6" s="25" t="str">
        <f t="shared" si="11"/>
        <v>合格</v>
      </c>
      <c r="AT6" s="25" t="str">
        <f t="shared" si="12"/>
        <v>生产可用</v>
      </c>
      <c r="AU6" s="25"/>
      <c r="AV6" s="29"/>
      <c r="AW6" s="30" t="s">
        <v>536</v>
      </c>
    </row>
    <row r="7" ht="34" spans="1:49">
      <c r="A7" s="25" t="s">
        <v>478</v>
      </c>
      <c r="B7" s="26" t="s">
        <v>126</v>
      </c>
      <c r="C7" s="26" t="s">
        <v>46</v>
      </c>
      <c r="D7" s="26" t="s">
        <v>477</v>
      </c>
      <c r="E7" s="27">
        <v>2.5</v>
      </c>
      <c r="F7" s="26" t="s">
        <v>471</v>
      </c>
      <c r="G7" s="26"/>
      <c r="H7" s="26"/>
      <c r="I7" s="26">
        <v>5</v>
      </c>
      <c r="J7" s="26">
        <v>5</v>
      </c>
      <c r="K7" s="26">
        <v>4</v>
      </c>
      <c r="L7" s="26">
        <v>4</v>
      </c>
      <c r="M7" s="26">
        <v>4</v>
      </c>
      <c r="N7" s="26">
        <v>4</v>
      </c>
      <c r="O7" s="26">
        <v>4</v>
      </c>
      <c r="P7" s="26">
        <v>4</v>
      </c>
      <c r="Q7" s="26">
        <v>4</v>
      </c>
      <c r="R7" s="26">
        <v>4</v>
      </c>
      <c r="S7" s="28">
        <f t="shared" si="0"/>
        <v>44.2</v>
      </c>
      <c r="T7" s="26">
        <v>4</v>
      </c>
      <c r="U7" s="26">
        <v>4</v>
      </c>
      <c r="V7" s="26">
        <v>4</v>
      </c>
      <c r="W7" s="26">
        <v>4</v>
      </c>
      <c r="X7" s="26">
        <v>4</v>
      </c>
      <c r="Y7" s="26">
        <v>4</v>
      </c>
      <c r="Z7" s="28">
        <f t="shared" si="1"/>
        <v>30</v>
      </c>
      <c r="AA7" s="26">
        <v>2</v>
      </c>
      <c r="AB7" s="26">
        <v>3</v>
      </c>
      <c r="AC7" s="26">
        <v>4</v>
      </c>
      <c r="AD7" s="28">
        <f t="shared" si="2"/>
        <v>7.25</v>
      </c>
      <c r="AE7" s="26">
        <v>4</v>
      </c>
      <c r="AF7" s="26">
        <v>4</v>
      </c>
      <c r="AG7" s="26">
        <v>4</v>
      </c>
      <c r="AH7" s="28">
        <f t="shared" si="3"/>
        <v>10</v>
      </c>
      <c r="AI7" s="26">
        <v>4</v>
      </c>
      <c r="AJ7" s="26">
        <v>3</v>
      </c>
      <c r="AK7" s="28">
        <f t="shared" si="4"/>
        <v>4.5</v>
      </c>
      <c r="AL7" s="28">
        <f t="shared" si="5"/>
        <v>95.95</v>
      </c>
      <c r="AM7" s="26"/>
      <c r="AN7" s="25" t="str">
        <f t="shared" si="6"/>
        <v>否</v>
      </c>
      <c r="AO7" s="25" t="str">
        <f t="shared" si="7"/>
        <v>合格</v>
      </c>
      <c r="AP7" s="25" t="str">
        <f t="shared" si="8"/>
        <v>合格</v>
      </c>
      <c r="AQ7" s="25" t="str">
        <f t="shared" si="9"/>
        <v>合格</v>
      </c>
      <c r="AR7" s="25" t="str">
        <f t="shared" si="10"/>
        <v>合格</v>
      </c>
      <c r="AS7" s="25" t="str">
        <f t="shared" si="11"/>
        <v>合格</v>
      </c>
      <c r="AT7" s="25" t="str">
        <f t="shared" si="12"/>
        <v>生产可用</v>
      </c>
      <c r="AU7" s="25"/>
      <c r="AV7" s="29"/>
      <c r="AW7" s="30" t="s">
        <v>536</v>
      </c>
    </row>
    <row r="8" ht="51" spans="1:49">
      <c r="A8" s="25" t="s">
        <v>479</v>
      </c>
      <c r="B8" s="26" t="s">
        <v>136</v>
      </c>
      <c r="C8" s="26" t="s">
        <v>53</v>
      </c>
      <c r="D8" s="26" t="s">
        <v>467</v>
      </c>
      <c r="E8" s="27" t="s">
        <v>468</v>
      </c>
      <c r="F8" s="26" t="s">
        <v>469</v>
      </c>
      <c r="G8" s="26"/>
      <c r="H8" s="26"/>
      <c r="I8" s="26">
        <v>3</v>
      </c>
      <c r="J8" s="26">
        <v>4</v>
      </c>
      <c r="K8" s="26">
        <v>4</v>
      </c>
      <c r="L8" s="26">
        <v>3</v>
      </c>
      <c r="M8" s="26">
        <v>3</v>
      </c>
      <c r="N8" s="26">
        <v>4</v>
      </c>
      <c r="O8" s="26">
        <v>3</v>
      </c>
      <c r="P8" s="26">
        <v>4</v>
      </c>
      <c r="Q8" s="26">
        <v>3</v>
      </c>
      <c r="R8" s="26">
        <v>4</v>
      </c>
      <c r="S8" s="28">
        <f t="shared" si="0"/>
        <v>36.55</v>
      </c>
      <c r="T8" s="26">
        <v>4</v>
      </c>
      <c r="U8" s="26">
        <v>4</v>
      </c>
      <c r="V8" s="26">
        <v>4</v>
      </c>
      <c r="W8" s="26">
        <v>4</v>
      </c>
      <c r="X8" s="26">
        <v>4</v>
      </c>
      <c r="Y8" s="26">
        <v>4</v>
      </c>
      <c r="Z8" s="28">
        <f t="shared" si="1"/>
        <v>30</v>
      </c>
      <c r="AA8" s="26">
        <v>4</v>
      </c>
      <c r="AB8" s="26">
        <v>4</v>
      </c>
      <c r="AC8" s="26">
        <v>4</v>
      </c>
      <c r="AD8" s="28">
        <f t="shared" si="2"/>
        <v>10</v>
      </c>
      <c r="AE8" s="26">
        <v>4</v>
      </c>
      <c r="AF8" s="26">
        <v>4</v>
      </c>
      <c r="AG8" s="26">
        <v>4</v>
      </c>
      <c r="AH8" s="28">
        <f t="shared" si="3"/>
        <v>10</v>
      </c>
      <c r="AI8" s="26">
        <v>4</v>
      </c>
      <c r="AJ8" s="26">
        <v>4</v>
      </c>
      <c r="AK8" s="28">
        <f t="shared" si="4"/>
        <v>5</v>
      </c>
      <c r="AL8" s="28">
        <f t="shared" si="5"/>
        <v>91.55</v>
      </c>
      <c r="AM8" s="26"/>
      <c r="AN8" s="25" t="str">
        <f t="shared" si="6"/>
        <v>否</v>
      </c>
      <c r="AO8" s="25" t="str">
        <f t="shared" si="7"/>
        <v>合格</v>
      </c>
      <c r="AP8" s="25" t="str">
        <f t="shared" si="8"/>
        <v>合格</v>
      </c>
      <c r="AQ8" s="25" t="str">
        <f t="shared" si="9"/>
        <v>合格</v>
      </c>
      <c r="AR8" s="25" t="str">
        <f t="shared" si="10"/>
        <v>合格</v>
      </c>
      <c r="AS8" s="25" t="str">
        <f t="shared" si="11"/>
        <v>合格</v>
      </c>
      <c r="AT8" s="25" t="str">
        <f t="shared" si="12"/>
        <v>生产可用</v>
      </c>
      <c r="AU8" s="25"/>
      <c r="AV8" s="29"/>
      <c r="AW8" s="30" t="s">
        <v>537</v>
      </c>
    </row>
    <row r="9" ht="51" spans="1:49">
      <c r="A9" s="25" t="s">
        <v>480</v>
      </c>
      <c r="B9" s="26" t="s">
        <v>136</v>
      </c>
      <c r="C9" s="26" t="s">
        <v>53</v>
      </c>
      <c r="D9" s="26" t="s">
        <v>467</v>
      </c>
      <c r="E9" s="27" t="s">
        <v>468</v>
      </c>
      <c r="F9" s="26" t="s">
        <v>471</v>
      </c>
      <c r="G9" s="26"/>
      <c r="H9" s="26"/>
      <c r="I9" s="26">
        <v>4</v>
      </c>
      <c r="J9" s="26">
        <v>4</v>
      </c>
      <c r="K9" s="26">
        <v>4</v>
      </c>
      <c r="L9" s="26">
        <v>4</v>
      </c>
      <c r="M9" s="26">
        <v>4</v>
      </c>
      <c r="N9" s="26">
        <v>4</v>
      </c>
      <c r="O9" s="26">
        <v>3</v>
      </c>
      <c r="P9" s="26">
        <v>4</v>
      </c>
      <c r="Q9" s="26">
        <v>4</v>
      </c>
      <c r="R9" s="26">
        <v>4</v>
      </c>
      <c r="S9" s="28">
        <f t="shared" si="0"/>
        <v>41.6</v>
      </c>
      <c r="T9" s="26">
        <v>4</v>
      </c>
      <c r="U9" s="26">
        <v>4</v>
      </c>
      <c r="V9" s="26">
        <v>4</v>
      </c>
      <c r="W9" s="26">
        <v>4</v>
      </c>
      <c r="X9" s="26">
        <v>4</v>
      </c>
      <c r="Y9" s="26">
        <v>4</v>
      </c>
      <c r="Z9" s="28">
        <f t="shared" si="1"/>
        <v>30</v>
      </c>
      <c r="AA9" s="26">
        <v>4</v>
      </c>
      <c r="AB9" s="26">
        <v>4</v>
      </c>
      <c r="AC9" s="26">
        <v>4</v>
      </c>
      <c r="AD9" s="28">
        <f t="shared" si="2"/>
        <v>10</v>
      </c>
      <c r="AE9" s="26">
        <v>4</v>
      </c>
      <c r="AF9" s="26">
        <v>4</v>
      </c>
      <c r="AG9" s="26">
        <v>4</v>
      </c>
      <c r="AH9" s="28">
        <f t="shared" si="3"/>
        <v>10</v>
      </c>
      <c r="AI9" s="26">
        <v>4</v>
      </c>
      <c r="AJ9" s="26">
        <v>4</v>
      </c>
      <c r="AK9" s="28">
        <f t="shared" si="4"/>
        <v>5</v>
      </c>
      <c r="AL9" s="28">
        <f t="shared" si="5"/>
        <v>96.6</v>
      </c>
      <c r="AM9" s="26"/>
      <c r="AN9" s="25" t="str">
        <f t="shared" si="6"/>
        <v>否</v>
      </c>
      <c r="AO9" s="25" t="str">
        <f t="shared" si="7"/>
        <v>合格</v>
      </c>
      <c r="AP9" s="25" t="str">
        <f t="shared" si="8"/>
        <v>合格</v>
      </c>
      <c r="AQ9" s="25" t="str">
        <f t="shared" si="9"/>
        <v>合格</v>
      </c>
      <c r="AR9" s="25" t="str">
        <f t="shared" si="10"/>
        <v>合格</v>
      </c>
      <c r="AS9" s="25" t="str">
        <f t="shared" si="11"/>
        <v>合格</v>
      </c>
      <c r="AT9" s="25" t="str">
        <f t="shared" si="12"/>
        <v>生产可用</v>
      </c>
      <c r="AU9" s="25"/>
      <c r="AV9" s="29"/>
      <c r="AW9" s="30"/>
    </row>
    <row r="10" ht="68" spans="1:49">
      <c r="A10" s="25" t="s">
        <v>481</v>
      </c>
      <c r="B10" s="26" t="s">
        <v>136</v>
      </c>
      <c r="C10" s="26" t="s">
        <v>53</v>
      </c>
      <c r="D10" s="26" t="s">
        <v>473</v>
      </c>
      <c r="E10" s="27" t="s">
        <v>474</v>
      </c>
      <c r="F10" s="26" t="s">
        <v>469</v>
      </c>
      <c r="G10" s="26"/>
      <c r="H10" s="26"/>
      <c r="I10" s="26">
        <v>3</v>
      </c>
      <c r="J10" s="26">
        <v>5</v>
      </c>
      <c r="K10" s="26">
        <v>3</v>
      </c>
      <c r="L10" s="26">
        <v>3</v>
      </c>
      <c r="M10" s="26">
        <v>4</v>
      </c>
      <c r="N10" s="26">
        <v>4</v>
      </c>
      <c r="O10" s="26">
        <v>3</v>
      </c>
      <c r="P10" s="26">
        <v>4</v>
      </c>
      <c r="Q10" s="26">
        <v>3</v>
      </c>
      <c r="R10" s="26">
        <v>4</v>
      </c>
      <c r="S10" s="28">
        <f t="shared" si="0"/>
        <v>37.8</v>
      </c>
      <c r="T10" s="26">
        <v>4</v>
      </c>
      <c r="U10" s="26">
        <v>4</v>
      </c>
      <c r="V10" s="26">
        <v>4</v>
      </c>
      <c r="W10" s="26">
        <v>4</v>
      </c>
      <c r="X10" s="26">
        <v>4</v>
      </c>
      <c r="Y10" s="26">
        <v>4</v>
      </c>
      <c r="Z10" s="28">
        <f t="shared" si="1"/>
        <v>30</v>
      </c>
      <c r="AA10" s="26">
        <v>4</v>
      </c>
      <c r="AB10" s="26">
        <v>4</v>
      </c>
      <c r="AC10" s="26">
        <v>3</v>
      </c>
      <c r="AD10" s="28">
        <f t="shared" si="2"/>
        <v>9.25</v>
      </c>
      <c r="AE10" s="26">
        <v>4</v>
      </c>
      <c r="AF10" s="26">
        <v>4</v>
      </c>
      <c r="AG10" s="26">
        <v>3</v>
      </c>
      <c r="AH10" s="28">
        <f t="shared" si="3"/>
        <v>9.25</v>
      </c>
      <c r="AI10" s="26">
        <v>4</v>
      </c>
      <c r="AJ10" s="26">
        <v>4</v>
      </c>
      <c r="AK10" s="28">
        <f t="shared" si="4"/>
        <v>5</v>
      </c>
      <c r="AL10" s="28">
        <f t="shared" si="5"/>
        <v>91.3</v>
      </c>
      <c r="AM10" s="26"/>
      <c r="AN10" s="25" t="str">
        <f t="shared" si="6"/>
        <v>否</v>
      </c>
      <c r="AO10" s="25" t="str">
        <f t="shared" si="7"/>
        <v>合格</v>
      </c>
      <c r="AP10" s="25" t="str">
        <f t="shared" si="8"/>
        <v>合格</v>
      </c>
      <c r="AQ10" s="25" t="str">
        <f t="shared" si="9"/>
        <v>合格</v>
      </c>
      <c r="AR10" s="25" t="str">
        <f t="shared" si="10"/>
        <v>合格</v>
      </c>
      <c r="AS10" s="25" t="str">
        <f t="shared" si="11"/>
        <v>合格</v>
      </c>
      <c r="AT10" s="25" t="str">
        <f t="shared" si="12"/>
        <v>生产可用</v>
      </c>
      <c r="AU10" s="25"/>
      <c r="AV10" s="29"/>
      <c r="AW10" s="30" t="s">
        <v>538</v>
      </c>
    </row>
    <row r="11" ht="84" spans="1:49">
      <c r="A11" s="25" t="s">
        <v>483</v>
      </c>
      <c r="B11" s="26" t="s">
        <v>136</v>
      </c>
      <c r="C11" s="26" t="s">
        <v>53</v>
      </c>
      <c r="D11" s="26" t="s">
        <v>473</v>
      </c>
      <c r="E11" s="27" t="s">
        <v>474</v>
      </c>
      <c r="F11" s="26" t="s">
        <v>471</v>
      </c>
      <c r="G11" s="26"/>
      <c r="H11" s="26"/>
      <c r="I11" s="26">
        <v>3</v>
      </c>
      <c r="J11" s="26">
        <v>5</v>
      </c>
      <c r="K11" s="26">
        <v>3</v>
      </c>
      <c r="L11" s="26">
        <v>3</v>
      </c>
      <c r="M11" s="26">
        <v>4</v>
      </c>
      <c r="N11" s="26">
        <v>4</v>
      </c>
      <c r="O11" s="26">
        <v>3</v>
      </c>
      <c r="P11" s="26">
        <v>4</v>
      </c>
      <c r="Q11" s="26">
        <v>3</v>
      </c>
      <c r="R11" s="26">
        <v>4</v>
      </c>
      <c r="S11" s="28">
        <f t="shared" si="0"/>
        <v>37.8</v>
      </c>
      <c r="T11" s="26">
        <v>4</v>
      </c>
      <c r="U11" s="26">
        <v>4</v>
      </c>
      <c r="V11" s="26">
        <v>4</v>
      </c>
      <c r="W11" s="26">
        <v>4</v>
      </c>
      <c r="X11" s="26">
        <v>3</v>
      </c>
      <c r="Y11" s="26">
        <v>3</v>
      </c>
      <c r="Z11" s="28">
        <f t="shared" si="1"/>
        <v>28.25</v>
      </c>
      <c r="AA11" s="26">
        <v>4</v>
      </c>
      <c r="AB11" s="26">
        <v>4</v>
      </c>
      <c r="AC11" s="26">
        <v>3</v>
      </c>
      <c r="AD11" s="28">
        <f t="shared" si="2"/>
        <v>9.25</v>
      </c>
      <c r="AE11" s="26">
        <v>4</v>
      </c>
      <c r="AF11" s="26">
        <v>4</v>
      </c>
      <c r="AG11" s="26">
        <v>3</v>
      </c>
      <c r="AH11" s="28">
        <f t="shared" si="3"/>
        <v>9.25</v>
      </c>
      <c r="AI11" s="26">
        <v>4</v>
      </c>
      <c r="AJ11" s="26">
        <v>4</v>
      </c>
      <c r="AK11" s="28">
        <f t="shared" si="4"/>
        <v>5</v>
      </c>
      <c r="AL11" s="28">
        <f t="shared" si="5"/>
        <v>89.55</v>
      </c>
      <c r="AM11" s="26"/>
      <c r="AN11" s="25" t="str">
        <f t="shared" si="6"/>
        <v>否</v>
      </c>
      <c r="AO11" s="25" t="str">
        <f t="shared" si="7"/>
        <v>合格</v>
      </c>
      <c r="AP11" s="25" t="str">
        <f t="shared" si="8"/>
        <v>合格</v>
      </c>
      <c r="AQ11" s="25" t="str">
        <f t="shared" si="9"/>
        <v>合格</v>
      </c>
      <c r="AR11" s="25" t="str">
        <f t="shared" si="10"/>
        <v>合格</v>
      </c>
      <c r="AS11" s="25" t="str">
        <f t="shared" si="11"/>
        <v>合格</v>
      </c>
      <c r="AT11" s="25" t="str">
        <f t="shared" si="12"/>
        <v>生产可用</v>
      </c>
      <c r="AU11" s="25"/>
      <c r="AV11" s="29"/>
      <c r="AW11" s="30" t="s">
        <v>539</v>
      </c>
    </row>
    <row r="12" ht="34" spans="1:49">
      <c r="A12" s="25" t="s">
        <v>484</v>
      </c>
      <c r="B12" s="26" t="s">
        <v>136</v>
      </c>
      <c r="C12" s="26" t="s">
        <v>53</v>
      </c>
      <c r="D12" s="26" t="s">
        <v>477</v>
      </c>
      <c r="E12" s="27">
        <v>2.5</v>
      </c>
      <c r="F12" s="26" t="s">
        <v>469</v>
      </c>
      <c r="G12" s="26"/>
      <c r="H12" s="26"/>
      <c r="I12" s="26">
        <v>5</v>
      </c>
      <c r="J12" s="26">
        <v>4</v>
      </c>
      <c r="K12" s="26">
        <v>5</v>
      </c>
      <c r="L12" s="26">
        <v>4</v>
      </c>
      <c r="M12" s="26">
        <v>4</v>
      </c>
      <c r="N12" s="26">
        <v>4</v>
      </c>
      <c r="O12" s="26">
        <v>4</v>
      </c>
      <c r="P12" s="26">
        <v>4</v>
      </c>
      <c r="Q12" s="26">
        <v>4</v>
      </c>
      <c r="R12" s="26">
        <v>4</v>
      </c>
      <c r="S12" s="28">
        <f t="shared" si="0"/>
        <v>44.2</v>
      </c>
      <c r="T12" s="26">
        <v>4</v>
      </c>
      <c r="U12" s="26">
        <v>2</v>
      </c>
      <c r="V12" s="26">
        <v>4</v>
      </c>
      <c r="W12" s="26">
        <v>4</v>
      </c>
      <c r="X12" s="26">
        <v>4</v>
      </c>
      <c r="Y12" s="26">
        <v>4</v>
      </c>
      <c r="Z12" s="28">
        <f t="shared" si="1"/>
        <v>27</v>
      </c>
      <c r="AA12" s="26">
        <v>2</v>
      </c>
      <c r="AB12" s="26">
        <v>3</v>
      </c>
      <c r="AC12" s="26">
        <v>4</v>
      </c>
      <c r="AD12" s="28">
        <f t="shared" si="2"/>
        <v>7.25</v>
      </c>
      <c r="AE12" s="26">
        <v>4</v>
      </c>
      <c r="AF12" s="26">
        <v>4</v>
      </c>
      <c r="AG12" s="26">
        <v>4</v>
      </c>
      <c r="AH12" s="28">
        <f t="shared" si="3"/>
        <v>10</v>
      </c>
      <c r="AI12" s="26">
        <v>4</v>
      </c>
      <c r="AJ12" s="26">
        <v>3</v>
      </c>
      <c r="AK12" s="28">
        <f t="shared" si="4"/>
        <v>4.5</v>
      </c>
      <c r="AL12" s="28">
        <f t="shared" si="5"/>
        <v>92.95</v>
      </c>
      <c r="AM12" s="26"/>
      <c r="AN12" s="25" t="str">
        <f t="shared" si="6"/>
        <v>否</v>
      </c>
      <c r="AO12" s="25" t="str">
        <f t="shared" si="7"/>
        <v>合格</v>
      </c>
      <c r="AP12" s="25" t="str">
        <f t="shared" si="8"/>
        <v>合格</v>
      </c>
      <c r="AQ12" s="25" t="str">
        <f t="shared" si="9"/>
        <v>合格</v>
      </c>
      <c r="AR12" s="25" t="str">
        <f t="shared" si="10"/>
        <v>合格</v>
      </c>
      <c r="AS12" s="25" t="str">
        <f t="shared" si="11"/>
        <v>合格</v>
      </c>
      <c r="AT12" s="25" t="str">
        <f t="shared" si="12"/>
        <v>生产可用</v>
      </c>
      <c r="AU12" s="25"/>
      <c r="AV12" s="29"/>
      <c r="AW12" s="30" t="s">
        <v>540</v>
      </c>
    </row>
    <row r="13" ht="51" spans="1:49">
      <c r="A13" s="25" t="s">
        <v>485</v>
      </c>
      <c r="B13" s="26" t="s">
        <v>136</v>
      </c>
      <c r="C13" s="26" t="s">
        <v>53</v>
      </c>
      <c r="D13" s="26" t="s">
        <v>477</v>
      </c>
      <c r="E13" s="27">
        <v>2.5</v>
      </c>
      <c r="F13" s="26" t="s">
        <v>471</v>
      </c>
      <c r="G13" s="26"/>
      <c r="H13" s="26"/>
      <c r="I13" s="26">
        <v>5</v>
      </c>
      <c r="J13" s="26">
        <v>4</v>
      </c>
      <c r="K13" s="26">
        <v>5</v>
      </c>
      <c r="L13" s="26">
        <v>4</v>
      </c>
      <c r="M13" s="26">
        <v>4</v>
      </c>
      <c r="N13" s="26">
        <v>4</v>
      </c>
      <c r="O13" s="26">
        <v>4</v>
      </c>
      <c r="P13" s="26">
        <v>4</v>
      </c>
      <c r="Q13" s="26">
        <v>4</v>
      </c>
      <c r="R13" s="26">
        <v>4</v>
      </c>
      <c r="S13" s="28">
        <f t="shared" si="0"/>
        <v>44.2</v>
      </c>
      <c r="T13" s="26">
        <v>4</v>
      </c>
      <c r="U13" s="26">
        <v>2</v>
      </c>
      <c r="V13" s="26">
        <v>4</v>
      </c>
      <c r="W13" s="26">
        <v>4</v>
      </c>
      <c r="X13" s="26">
        <v>4</v>
      </c>
      <c r="Y13" s="26">
        <v>4</v>
      </c>
      <c r="Z13" s="28">
        <f t="shared" si="1"/>
        <v>27</v>
      </c>
      <c r="AA13" s="26">
        <v>2</v>
      </c>
      <c r="AB13" s="26">
        <v>3</v>
      </c>
      <c r="AC13" s="26">
        <v>4</v>
      </c>
      <c r="AD13" s="28">
        <f t="shared" si="2"/>
        <v>7.25</v>
      </c>
      <c r="AE13" s="26">
        <v>4</v>
      </c>
      <c r="AF13" s="26">
        <v>4</v>
      </c>
      <c r="AG13" s="26">
        <v>4</v>
      </c>
      <c r="AH13" s="28">
        <f t="shared" si="3"/>
        <v>10</v>
      </c>
      <c r="AI13" s="26">
        <v>4</v>
      </c>
      <c r="AJ13" s="26">
        <v>3</v>
      </c>
      <c r="AK13" s="28">
        <f t="shared" si="4"/>
        <v>4.5</v>
      </c>
      <c r="AL13" s="28">
        <f t="shared" si="5"/>
        <v>92.95</v>
      </c>
      <c r="AM13" s="26"/>
      <c r="AN13" s="25" t="str">
        <f t="shared" si="6"/>
        <v>否</v>
      </c>
      <c r="AO13" s="25" t="str">
        <f t="shared" si="7"/>
        <v>合格</v>
      </c>
      <c r="AP13" s="25" t="str">
        <f t="shared" si="8"/>
        <v>合格</v>
      </c>
      <c r="AQ13" s="25" t="str">
        <f t="shared" si="9"/>
        <v>合格</v>
      </c>
      <c r="AR13" s="25" t="str">
        <f t="shared" si="10"/>
        <v>合格</v>
      </c>
      <c r="AS13" s="25" t="str">
        <f t="shared" si="11"/>
        <v>合格</v>
      </c>
      <c r="AT13" s="25" t="str">
        <f t="shared" si="12"/>
        <v>生产可用</v>
      </c>
      <c r="AU13" s="25"/>
      <c r="AV13" s="29"/>
      <c r="AW13" s="30" t="s">
        <v>540</v>
      </c>
    </row>
    <row r="14" ht="51" spans="1:49">
      <c r="A14" s="25" t="s">
        <v>486</v>
      </c>
      <c r="B14" s="26" t="s">
        <v>146</v>
      </c>
      <c r="C14" s="26" t="s">
        <v>60</v>
      </c>
      <c r="D14" s="26" t="s">
        <v>467</v>
      </c>
      <c r="E14" s="27" t="s">
        <v>468</v>
      </c>
      <c r="F14" s="26" t="s">
        <v>469</v>
      </c>
      <c r="G14" s="26"/>
      <c r="H14" s="26"/>
      <c r="I14" s="26">
        <v>4</v>
      </c>
      <c r="J14" s="26">
        <v>4</v>
      </c>
      <c r="K14" s="26">
        <v>3</v>
      </c>
      <c r="L14" s="26">
        <v>3</v>
      </c>
      <c r="M14" s="26">
        <v>3</v>
      </c>
      <c r="N14" s="26">
        <v>3</v>
      </c>
      <c r="O14" s="26">
        <v>3</v>
      </c>
      <c r="P14" s="26">
        <v>4</v>
      </c>
      <c r="Q14" s="26">
        <v>3</v>
      </c>
      <c r="R14" s="26">
        <v>4</v>
      </c>
      <c r="S14" s="28">
        <f t="shared" si="0"/>
        <v>35.05</v>
      </c>
      <c r="T14" s="26">
        <v>4</v>
      </c>
      <c r="U14" s="26">
        <v>4</v>
      </c>
      <c r="V14" s="26">
        <v>4</v>
      </c>
      <c r="W14" s="26">
        <v>4</v>
      </c>
      <c r="X14" s="26">
        <v>4</v>
      </c>
      <c r="Y14" s="26">
        <v>4</v>
      </c>
      <c r="Z14" s="28">
        <f t="shared" si="1"/>
        <v>30</v>
      </c>
      <c r="AA14" s="26">
        <v>4</v>
      </c>
      <c r="AB14" s="26">
        <v>4</v>
      </c>
      <c r="AC14" s="26">
        <v>4</v>
      </c>
      <c r="AD14" s="28">
        <f t="shared" si="2"/>
        <v>10</v>
      </c>
      <c r="AE14" s="26">
        <v>4</v>
      </c>
      <c r="AF14" s="26">
        <v>4</v>
      </c>
      <c r="AG14" s="26">
        <v>4</v>
      </c>
      <c r="AH14" s="28">
        <f t="shared" si="3"/>
        <v>10</v>
      </c>
      <c r="AI14" s="26">
        <v>4</v>
      </c>
      <c r="AJ14" s="26">
        <v>4</v>
      </c>
      <c r="AK14" s="28">
        <f t="shared" si="4"/>
        <v>5</v>
      </c>
      <c r="AL14" s="28">
        <f t="shared" si="5"/>
        <v>90.05</v>
      </c>
      <c r="AM14" s="26"/>
      <c r="AN14" s="25" t="str">
        <f t="shared" si="6"/>
        <v>否</v>
      </c>
      <c r="AO14" s="25" t="str">
        <f t="shared" si="7"/>
        <v>临界</v>
      </c>
      <c r="AP14" s="25" t="str">
        <f t="shared" si="8"/>
        <v>合格</v>
      </c>
      <c r="AQ14" s="25" t="str">
        <f t="shared" si="9"/>
        <v>合格</v>
      </c>
      <c r="AR14" s="25" t="str">
        <f t="shared" si="10"/>
        <v>合格</v>
      </c>
      <c r="AS14" s="25" t="str">
        <f t="shared" si="11"/>
        <v>合格</v>
      </c>
      <c r="AT14" s="25" t="str">
        <f t="shared" si="12"/>
        <v>待复核</v>
      </c>
      <c r="AU14" s="25"/>
      <c r="AV14" s="29"/>
      <c r="AW14" s="30" t="s">
        <v>541</v>
      </c>
    </row>
    <row r="15" ht="34" spans="1:49">
      <c r="A15" s="25" t="s">
        <v>487</v>
      </c>
      <c r="B15" s="26" t="s">
        <v>146</v>
      </c>
      <c r="C15" s="26" t="s">
        <v>60</v>
      </c>
      <c r="D15" s="26" t="s">
        <v>467</v>
      </c>
      <c r="E15" s="27" t="s">
        <v>468</v>
      </c>
      <c r="F15" s="26" t="s">
        <v>471</v>
      </c>
      <c r="G15" s="26"/>
      <c r="H15" s="26"/>
      <c r="I15" s="26">
        <v>4</v>
      </c>
      <c r="J15" s="26">
        <v>4</v>
      </c>
      <c r="K15" s="26">
        <v>3</v>
      </c>
      <c r="L15" s="26">
        <v>3</v>
      </c>
      <c r="M15" s="26">
        <v>3</v>
      </c>
      <c r="N15" s="26">
        <v>3</v>
      </c>
      <c r="O15" s="26">
        <v>3</v>
      </c>
      <c r="P15" s="26">
        <v>4</v>
      </c>
      <c r="Q15" s="26">
        <v>4</v>
      </c>
      <c r="R15" s="26">
        <v>4</v>
      </c>
      <c r="S15" s="28">
        <f t="shared" si="0"/>
        <v>36.05</v>
      </c>
      <c r="T15" s="26">
        <v>4</v>
      </c>
      <c r="U15" s="26">
        <v>4</v>
      </c>
      <c r="V15" s="26">
        <v>4</v>
      </c>
      <c r="W15" s="26">
        <v>4</v>
      </c>
      <c r="X15" s="26">
        <v>4</v>
      </c>
      <c r="Y15" s="26">
        <v>4</v>
      </c>
      <c r="Z15" s="28">
        <f t="shared" si="1"/>
        <v>30</v>
      </c>
      <c r="AA15" s="26">
        <v>4</v>
      </c>
      <c r="AB15" s="26">
        <v>4</v>
      </c>
      <c r="AC15" s="26">
        <v>4</v>
      </c>
      <c r="AD15" s="28">
        <f t="shared" si="2"/>
        <v>10</v>
      </c>
      <c r="AE15" s="26">
        <v>4</v>
      </c>
      <c r="AF15" s="26">
        <v>4</v>
      </c>
      <c r="AG15" s="26">
        <v>4</v>
      </c>
      <c r="AH15" s="28">
        <f t="shared" si="3"/>
        <v>10</v>
      </c>
      <c r="AI15" s="26">
        <v>4</v>
      </c>
      <c r="AJ15" s="26">
        <v>4</v>
      </c>
      <c r="AK15" s="28">
        <f t="shared" si="4"/>
        <v>5</v>
      </c>
      <c r="AL15" s="28">
        <f t="shared" si="5"/>
        <v>91.05</v>
      </c>
      <c r="AM15" s="26"/>
      <c r="AN15" s="25" t="str">
        <f t="shared" si="6"/>
        <v>否</v>
      </c>
      <c r="AO15" s="25" t="str">
        <f t="shared" si="7"/>
        <v>合格</v>
      </c>
      <c r="AP15" s="25" t="str">
        <f t="shared" si="8"/>
        <v>合格</v>
      </c>
      <c r="AQ15" s="25" t="str">
        <f t="shared" si="9"/>
        <v>合格</v>
      </c>
      <c r="AR15" s="25" t="str">
        <f t="shared" si="10"/>
        <v>合格</v>
      </c>
      <c r="AS15" s="25" t="str">
        <f t="shared" si="11"/>
        <v>合格</v>
      </c>
      <c r="AT15" s="25" t="str">
        <f t="shared" si="12"/>
        <v>生产可用</v>
      </c>
      <c r="AU15" s="25"/>
      <c r="AV15" s="29"/>
      <c r="AW15" s="30" t="s">
        <v>542</v>
      </c>
    </row>
    <row r="16" ht="68" spans="1:49">
      <c r="A16" s="25" t="s">
        <v>488</v>
      </c>
      <c r="B16" s="26" t="s">
        <v>146</v>
      </c>
      <c r="C16" s="26" t="s">
        <v>60</v>
      </c>
      <c r="D16" s="26" t="s">
        <v>473</v>
      </c>
      <c r="E16" s="27" t="s">
        <v>474</v>
      </c>
      <c r="F16" s="26" t="s">
        <v>469</v>
      </c>
      <c r="G16" s="26"/>
      <c r="H16" s="26"/>
      <c r="I16" s="26">
        <v>3</v>
      </c>
      <c r="J16" s="26">
        <v>3</v>
      </c>
      <c r="K16" s="26">
        <v>4</v>
      </c>
      <c r="L16" s="26">
        <v>2</v>
      </c>
      <c r="M16" s="26">
        <v>4</v>
      </c>
      <c r="N16" s="26">
        <v>3</v>
      </c>
      <c r="O16" s="26">
        <v>2</v>
      </c>
      <c r="P16" s="26">
        <v>4</v>
      </c>
      <c r="Q16" s="26">
        <v>4</v>
      </c>
      <c r="R16" s="26">
        <v>4</v>
      </c>
      <c r="S16" s="28">
        <f t="shared" si="0"/>
        <v>33.5</v>
      </c>
      <c r="T16" s="26">
        <v>4</v>
      </c>
      <c r="U16" s="26">
        <v>3</v>
      </c>
      <c r="V16" s="26">
        <v>4</v>
      </c>
      <c r="W16" s="26">
        <v>4</v>
      </c>
      <c r="X16" s="26">
        <v>4</v>
      </c>
      <c r="Y16" s="26">
        <v>4</v>
      </c>
      <c r="Z16" s="28">
        <f t="shared" si="1"/>
        <v>28.5</v>
      </c>
      <c r="AA16" s="26">
        <v>4</v>
      </c>
      <c r="AB16" s="26">
        <v>4</v>
      </c>
      <c r="AC16" s="26">
        <v>4</v>
      </c>
      <c r="AD16" s="28">
        <f t="shared" si="2"/>
        <v>10</v>
      </c>
      <c r="AE16" s="26">
        <v>4</v>
      </c>
      <c r="AF16" s="26">
        <v>4</v>
      </c>
      <c r="AG16" s="26">
        <v>3</v>
      </c>
      <c r="AH16" s="28">
        <f t="shared" si="3"/>
        <v>9.25</v>
      </c>
      <c r="AI16" s="26">
        <v>4</v>
      </c>
      <c r="AJ16" s="26">
        <v>4</v>
      </c>
      <c r="AK16" s="28">
        <f t="shared" si="4"/>
        <v>5</v>
      </c>
      <c r="AL16" s="28">
        <f t="shared" si="5"/>
        <v>86.25</v>
      </c>
      <c r="AM16" s="26"/>
      <c r="AN16" s="25" t="str">
        <f t="shared" si="6"/>
        <v>否</v>
      </c>
      <c r="AO16" s="25" t="str">
        <f t="shared" si="7"/>
        <v>临界</v>
      </c>
      <c r="AP16" s="25" t="str">
        <f t="shared" si="8"/>
        <v>合格</v>
      </c>
      <c r="AQ16" s="25" t="str">
        <f t="shared" si="9"/>
        <v>合格</v>
      </c>
      <c r="AR16" s="25" t="str">
        <f t="shared" si="10"/>
        <v>合格</v>
      </c>
      <c r="AS16" s="25" t="str">
        <f t="shared" si="11"/>
        <v>合格</v>
      </c>
      <c r="AT16" s="25" t="str">
        <f t="shared" si="12"/>
        <v>待复核</v>
      </c>
      <c r="AU16" s="25"/>
      <c r="AV16" s="29"/>
      <c r="AW16" s="30" t="s">
        <v>543</v>
      </c>
    </row>
    <row r="17" ht="68" spans="1:49">
      <c r="A17" s="25" t="s">
        <v>489</v>
      </c>
      <c r="B17" s="26" t="s">
        <v>146</v>
      </c>
      <c r="C17" s="26" t="s">
        <v>60</v>
      </c>
      <c r="D17" s="26" t="s">
        <v>473</v>
      </c>
      <c r="E17" s="27" t="s">
        <v>474</v>
      </c>
      <c r="F17" s="26" t="s">
        <v>471</v>
      </c>
      <c r="G17" s="26"/>
      <c r="H17" s="26"/>
      <c r="I17" s="26">
        <v>3</v>
      </c>
      <c r="J17" s="26">
        <v>3</v>
      </c>
      <c r="K17" s="26">
        <v>4</v>
      </c>
      <c r="L17" s="26">
        <v>2</v>
      </c>
      <c r="M17" s="26">
        <v>4</v>
      </c>
      <c r="N17" s="26">
        <v>3</v>
      </c>
      <c r="O17" s="26">
        <v>2</v>
      </c>
      <c r="P17" s="26">
        <v>4</v>
      </c>
      <c r="Q17" s="26">
        <v>3</v>
      </c>
      <c r="R17" s="26">
        <v>4</v>
      </c>
      <c r="S17" s="28">
        <f t="shared" si="0"/>
        <v>32.5</v>
      </c>
      <c r="T17" s="26">
        <v>4</v>
      </c>
      <c r="U17" s="26">
        <v>4</v>
      </c>
      <c r="V17" s="26">
        <v>4</v>
      </c>
      <c r="W17" s="26">
        <v>4</v>
      </c>
      <c r="X17" s="26">
        <v>4</v>
      </c>
      <c r="Y17" s="26">
        <v>4</v>
      </c>
      <c r="Z17" s="28">
        <f t="shared" si="1"/>
        <v>30</v>
      </c>
      <c r="AA17" s="26">
        <v>4</v>
      </c>
      <c r="AB17" s="26">
        <v>4</v>
      </c>
      <c r="AC17" s="26">
        <v>4</v>
      </c>
      <c r="AD17" s="28">
        <f t="shared" si="2"/>
        <v>10</v>
      </c>
      <c r="AE17" s="26">
        <v>4</v>
      </c>
      <c r="AF17" s="26">
        <v>4</v>
      </c>
      <c r="AG17" s="26">
        <v>3</v>
      </c>
      <c r="AH17" s="28">
        <f t="shared" si="3"/>
        <v>9.25</v>
      </c>
      <c r="AI17" s="26">
        <v>4</v>
      </c>
      <c r="AJ17" s="26">
        <v>4</v>
      </c>
      <c r="AK17" s="28">
        <f t="shared" si="4"/>
        <v>5</v>
      </c>
      <c r="AL17" s="28">
        <f t="shared" si="5"/>
        <v>86.75</v>
      </c>
      <c r="AM17" s="26"/>
      <c r="AN17" s="25" t="str">
        <f t="shared" si="6"/>
        <v>否</v>
      </c>
      <c r="AO17" s="25" t="str">
        <f t="shared" si="7"/>
        <v>临界</v>
      </c>
      <c r="AP17" s="25" t="str">
        <f t="shared" si="8"/>
        <v>合格</v>
      </c>
      <c r="AQ17" s="25" t="str">
        <f t="shared" si="9"/>
        <v>合格</v>
      </c>
      <c r="AR17" s="25" t="str">
        <f t="shared" si="10"/>
        <v>合格</v>
      </c>
      <c r="AS17" s="25" t="str">
        <f t="shared" si="11"/>
        <v>合格</v>
      </c>
      <c r="AT17" s="25" t="str">
        <f t="shared" si="12"/>
        <v>待复核</v>
      </c>
      <c r="AU17" s="25"/>
      <c r="AV17" s="29"/>
      <c r="AW17" s="30" t="s">
        <v>544</v>
      </c>
    </row>
    <row r="18" ht="34" spans="1:49">
      <c r="A18" s="25" t="s">
        <v>490</v>
      </c>
      <c r="B18" s="26" t="s">
        <v>146</v>
      </c>
      <c r="C18" s="26" t="s">
        <v>60</v>
      </c>
      <c r="D18" s="26" t="s">
        <v>477</v>
      </c>
      <c r="E18" s="27">
        <v>2.5</v>
      </c>
      <c r="F18" s="26" t="s">
        <v>469</v>
      </c>
      <c r="G18" s="26"/>
      <c r="H18" s="26"/>
      <c r="I18" s="26">
        <v>5</v>
      </c>
      <c r="J18" s="26">
        <v>5</v>
      </c>
      <c r="K18" s="26">
        <v>4</v>
      </c>
      <c r="L18" s="26">
        <v>4</v>
      </c>
      <c r="M18" s="26">
        <v>4</v>
      </c>
      <c r="N18" s="26">
        <v>4</v>
      </c>
      <c r="O18" s="26">
        <v>4</v>
      </c>
      <c r="P18" s="26">
        <v>4</v>
      </c>
      <c r="Q18" s="26">
        <v>4</v>
      </c>
      <c r="R18" s="26">
        <v>4</v>
      </c>
      <c r="S18" s="28">
        <f t="shared" si="0"/>
        <v>44.2</v>
      </c>
      <c r="T18" s="26">
        <v>4</v>
      </c>
      <c r="U18" s="26">
        <v>2</v>
      </c>
      <c r="V18" s="26">
        <v>4</v>
      </c>
      <c r="W18" s="26">
        <v>4</v>
      </c>
      <c r="X18" s="26">
        <v>4</v>
      </c>
      <c r="Y18" s="26">
        <v>4</v>
      </c>
      <c r="Z18" s="28">
        <f t="shared" si="1"/>
        <v>27</v>
      </c>
      <c r="AA18" s="26">
        <v>2</v>
      </c>
      <c r="AB18" s="26">
        <v>3</v>
      </c>
      <c r="AC18" s="26">
        <v>4</v>
      </c>
      <c r="AD18" s="28">
        <f t="shared" si="2"/>
        <v>7.25</v>
      </c>
      <c r="AE18" s="26">
        <v>4</v>
      </c>
      <c r="AF18" s="26">
        <v>4</v>
      </c>
      <c r="AG18" s="26">
        <v>4</v>
      </c>
      <c r="AH18" s="28">
        <f t="shared" si="3"/>
        <v>10</v>
      </c>
      <c r="AI18" s="26">
        <v>4</v>
      </c>
      <c r="AJ18" s="26">
        <v>3</v>
      </c>
      <c r="AK18" s="28">
        <f t="shared" si="4"/>
        <v>4.5</v>
      </c>
      <c r="AL18" s="28">
        <f t="shared" si="5"/>
        <v>92.95</v>
      </c>
      <c r="AM18" s="26"/>
      <c r="AN18" s="25" t="str">
        <f t="shared" si="6"/>
        <v>否</v>
      </c>
      <c r="AO18" s="25" t="str">
        <f t="shared" si="7"/>
        <v>合格</v>
      </c>
      <c r="AP18" s="25" t="str">
        <f t="shared" si="8"/>
        <v>合格</v>
      </c>
      <c r="AQ18" s="25" t="str">
        <f t="shared" si="9"/>
        <v>合格</v>
      </c>
      <c r="AR18" s="25" t="str">
        <f t="shared" si="10"/>
        <v>合格</v>
      </c>
      <c r="AS18" s="25" t="str">
        <f t="shared" si="11"/>
        <v>合格</v>
      </c>
      <c r="AT18" s="25" t="str">
        <f t="shared" si="12"/>
        <v>生产可用</v>
      </c>
      <c r="AU18" s="25"/>
      <c r="AV18" s="29"/>
      <c r="AW18" s="30" t="s">
        <v>545</v>
      </c>
    </row>
    <row r="19" ht="34" spans="1:49">
      <c r="A19" s="25" t="s">
        <v>491</v>
      </c>
      <c r="B19" s="26" t="s">
        <v>146</v>
      </c>
      <c r="C19" s="26" t="s">
        <v>60</v>
      </c>
      <c r="D19" s="26" t="s">
        <v>477</v>
      </c>
      <c r="E19" s="27">
        <v>2.5</v>
      </c>
      <c r="F19" s="26" t="s">
        <v>471</v>
      </c>
      <c r="G19" s="26"/>
      <c r="H19" s="26"/>
      <c r="I19" s="26">
        <v>5</v>
      </c>
      <c r="J19" s="26">
        <v>5</v>
      </c>
      <c r="K19" s="26">
        <v>4</v>
      </c>
      <c r="L19" s="26">
        <v>4</v>
      </c>
      <c r="M19" s="26">
        <v>4</v>
      </c>
      <c r="N19" s="26">
        <v>4</v>
      </c>
      <c r="O19" s="26">
        <v>4</v>
      </c>
      <c r="P19" s="26">
        <v>4</v>
      </c>
      <c r="Q19" s="26">
        <v>4</v>
      </c>
      <c r="R19" s="26">
        <v>4</v>
      </c>
      <c r="S19" s="28">
        <f t="shared" si="0"/>
        <v>44.2</v>
      </c>
      <c r="T19" s="26">
        <v>4</v>
      </c>
      <c r="U19" s="26">
        <v>2</v>
      </c>
      <c r="V19" s="26">
        <v>4</v>
      </c>
      <c r="W19" s="26">
        <v>4</v>
      </c>
      <c r="X19" s="26">
        <v>4</v>
      </c>
      <c r="Y19" s="26">
        <v>4</v>
      </c>
      <c r="Z19" s="28">
        <f t="shared" si="1"/>
        <v>27</v>
      </c>
      <c r="AA19" s="26">
        <v>2</v>
      </c>
      <c r="AB19" s="26">
        <v>3</v>
      </c>
      <c r="AC19" s="26">
        <v>4</v>
      </c>
      <c r="AD19" s="28">
        <f t="shared" si="2"/>
        <v>7.25</v>
      </c>
      <c r="AE19" s="26">
        <v>4</v>
      </c>
      <c r="AF19" s="26">
        <v>4</v>
      </c>
      <c r="AG19" s="26">
        <v>4</v>
      </c>
      <c r="AH19" s="28">
        <f t="shared" si="3"/>
        <v>10</v>
      </c>
      <c r="AI19" s="26">
        <v>4</v>
      </c>
      <c r="AJ19" s="26">
        <v>3</v>
      </c>
      <c r="AK19" s="28">
        <f t="shared" si="4"/>
        <v>4.5</v>
      </c>
      <c r="AL19" s="28">
        <f t="shared" si="5"/>
        <v>92.95</v>
      </c>
      <c r="AM19" s="26"/>
      <c r="AN19" s="25" t="str">
        <f t="shared" si="6"/>
        <v>否</v>
      </c>
      <c r="AO19" s="25" t="str">
        <f t="shared" si="7"/>
        <v>合格</v>
      </c>
      <c r="AP19" s="25" t="str">
        <f t="shared" si="8"/>
        <v>合格</v>
      </c>
      <c r="AQ19" s="25" t="str">
        <f t="shared" si="9"/>
        <v>合格</v>
      </c>
      <c r="AR19" s="25" t="str">
        <f t="shared" si="10"/>
        <v>合格</v>
      </c>
      <c r="AS19" s="25" t="str">
        <f t="shared" si="11"/>
        <v>合格</v>
      </c>
      <c r="AT19" s="25" t="str">
        <f t="shared" si="12"/>
        <v>生产可用</v>
      </c>
      <c r="AU19" s="25"/>
      <c r="AV19" s="29"/>
      <c r="AW19" s="30" t="s">
        <v>545</v>
      </c>
    </row>
    <row r="20" ht="68" spans="1:49">
      <c r="A20" s="25" t="s">
        <v>492</v>
      </c>
      <c r="B20" s="26" t="s">
        <v>155</v>
      </c>
      <c r="C20" s="26" t="s">
        <v>67</v>
      </c>
      <c r="D20" s="26" t="s">
        <v>467</v>
      </c>
      <c r="E20" s="27" t="s">
        <v>468</v>
      </c>
      <c r="F20" s="26" t="s">
        <v>469</v>
      </c>
      <c r="G20" s="26"/>
      <c r="H20" s="26"/>
      <c r="I20" s="26">
        <v>4</v>
      </c>
      <c r="J20" s="26">
        <v>3</v>
      </c>
      <c r="K20" s="26">
        <v>3</v>
      </c>
      <c r="L20" s="26">
        <v>2</v>
      </c>
      <c r="M20" s="26">
        <v>4</v>
      </c>
      <c r="N20" s="26">
        <v>4</v>
      </c>
      <c r="O20" s="26">
        <v>2</v>
      </c>
      <c r="P20" s="26">
        <v>3</v>
      </c>
      <c r="Q20" s="26">
        <v>3</v>
      </c>
      <c r="R20" s="26">
        <v>3</v>
      </c>
      <c r="S20" s="28">
        <f t="shared" si="0"/>
        <v>32.5</v>
      </c>
      <c r="T20" s="26">
        <v>4</v>
      </c>
      <c r="U20" s="26">
        <v>4</v>
      </c>
      <c r="V20" s="26">
        <v>4</v>
      </c>
      <c r="W20" s="26">
        <v>4</v>
      </c>
      <c r="X20" s="26">
        <v>4</v>
      </c>
      <c r="Y20" s="26">
        <v>4</v>
      </c>
      <c r="Z20" s="28">
        <f t="shared" si="1"/>
        <v>30</v>
      </c>
      <c r="AA20" s="26">
        <v>4</v>
      </c>
      <c r="AB20" s="26">
        <v>4</v>
      </c>
      <c r="AC20" s="26">
        <v>4</v>
      </c>
      <c r="AD20" s="28">
        <f t="shared" si="2"/>
        <v>10</v>
      </c>
      <c r="AE20" s="26">
        <v>4</v>
      </c>
      <c r="AF20" s="26">
        <v>4</v>
      </c>
      <c r="AG20" s="26">
        <v>4</v>
      </c>
      <c r="AH20" s="28">
        <f t="shared" si="3"/>
        <v>10</v>
      </c>
      <c r="AI20" s="26">
        <v>4</v>
      </c>
      <c r="AJ20" s="26">
        <v>3</v>
      </c>
      <c r="AK20" s="28">
        <f t="shared" si="4"/>
        <v>4.5</v>
      </c>
      <c r="AL20" s="28">
        <f t="shared" si="5"/>
        <v>87</v>
      </c>
      <c r="AM20" s="26"/>
      <c r="AN20" s="25" t="str">
        <f t="shared" si="6"/>
        <v>否</v>
      </c>
      <c r="AO20" s="25" t="str">
        <f t="shared" si="7"/>
        <v>临界</v>
      </c>
      <c r="AP20" s="25" t="str">
        <f t="shared" si="8"/>
        <v>合格</v>
      </c>
      <c r="AQ20" s="25" t="str">
        <f t="shared" si="9"/>
        <v>合格</v>
      </c>
      <c r="AR20" s="25" t="str">
        <f t="shared" si="10"/>
        <v>合格</v>
      </c>
      <c r="AS20" s="25" t="str">
        <f t="shared" si="11"/>
        <v>合格</v>
      </c>
      <c r="AT20" s="25" t="str">
        <f t="shared" si="12"/>
        <v>待复核</v>
      </c>
      <c r="AU20" s="25"/>
      <c r="AV20" s="29"/>
      <c r="AW20" s="30" t="s">
        <v>546</v>
      </c>
    </row>
    <row r="21" ht="51" spans="1:49">
      <c r="A21" s="25" t="s">
        <v>493</v>
      </c>
      <c r="B21" s="26" t="s">
        <v>155</v>
      </c>
      <c r="C21" s="26" t="s">
        <v>67</v>
      </c>
      <c r="D21" s="26" t="s">
        <v>467</v>
      </c>
      <c r="E21" s="27" t="s">
        <v>468</v>
      </c>
      <c r="F21" s="26" t="s">
        <v>471</v>
      </c>
      <c r="G21" s="26"/>
      <c r="H21" s="26"/>
      <c r="I21" s="26">
        <v>4</v>
      </c>
      <c r="J21" s="26">
        <v>3</v>
      </c>
      <c r="K21" s="26">
        <v>3</v>
      </c>
      <c r="L21" s="26">
        <v>2</v>
      </c>
      <c r="M21" s="26">
        <v>4</v>
      </c>
      <c r="N21" s="26">
        <v>4</v>
      </c>
      <c r="O21" s="26">
        <v>2</v>
      </c>
      <c r="P21" s="26">
        <v>3</v>
      </c>
      <c r="Q21" s="26">
        <v>3</v>
      </c>
      <c r="R21" s="26">
        <v>3</v>
      </c>
      <c r="S21" s="28">
        <f t="shared" si="0"/>
        <v>32.5</v>
      </c>
      <c r="T21" s="26">
        <v>4</v>
      </c>
      <c r="U21" s="26">
        <v>4</v>
      </c>
      <c r="V21" s="26">
        <v>4</v>
      </c>
      <c r="W21" s="26">
        <v>4</v>
      </c>
      <c r="X21" s="26">
        <v>4</v>
      </c>
      <c r="Y21" s="26">
        <v>4</v>
      </c>
      <c r="Z21" s="28">
        <f t="shared" si="1"/>
        <v>30</v>
      </c>
      <c r="AA21" s="26">
        <v>4</v>
      </c>
      <c r="AB21" s="26">
        <v>4</v>
      </c>
      <c r="AC21" s="26">
        <v>4</v>
      </c>
      <c r="AD21" s="28">
        <f t="shared" si="2"/>
        <v>10</v>
      </c>
      <c r="AE21" s="26">
        <v>4</v>
      </c>
      <c r="AF21" s="26">
        <v>4</v>
      </c>
      <c r="AG21" s="26">
        <v>4</v>
      </c>
      <c r="AH21" s="28">
        <f t="shared" si="3"/>
        <v>10</v>
      </c>
      <c r="AI21" s="26">
        <v>4</v>
      </c>
      <c r="AJ21" s="26">
        <v>4</v>
      </c>
      <c r="AK21" s="28">
        <f t="shared" si="4"/>
        <v>5</v>
      </c>
      <c r="AL21" s="28">
        <f t="shared" si="5"/>
        <v>87.5</v>
      </c>
      <c r="AM21" s="26"/>
      <c r="AN21" s="25" t="str">
        <f t="shared" si="6"/>
        <v>否</v>
      </c>
      <c r="AO21" s="25" t="str">
        <f t="shared" si="7"/>
        <v>临界</v>
      </c>
      <c r="AP21" s="25" t="str">
        <f t="shared" si="8"/>
        <v>合格</v>
      </c>
      <c r="AQ21" s="25" t="str">
        <f t="shared" si="9"/>
        <v>合格</v>
      </c>
      <c r="AR21" s="25" t="str">
        <f t="shared" si="10"/>
        <v>合格</v>
      </c>
      <c r="AS21" s="25" t="str">
        <f t="shared" si="11"/>
        <v>合格</v>
      </c>
      <c r="AT21" s="25" t="str">
        <f t="shared" si="12"/>
        <v>待复核</v>
      </c>
      <c r="AU21" s="25"/>
      <c r="AV21" s="29"/>
      <c r="AW21" s="30" t="s">
        <v>547</v>
      </c>
    </row>
    <row r="22" ht="68" spans="1:49">
      <c r="A22" s="25" t="s">
        <v>494</v>
      </c>
      <c r="B22" s="26" t="s">
        <v>155</v>
      </c>
      <c r="C22" s="26" t="s">
        <v>67</v>
      </c>
      <c r="D22" s="26" t="s">
        <v>473</v>
      </c>
      <c r="E22" s="27" t="s">
        <v>474</v>
      </c>
      <c r="F22" s="26" t="s">
        <v>469</v>
      </c>
      <c r="G22" s="26"/>
      <c r="H22" s="26"/>
      <c r="I22" s="26">
        <v>3</v>
      </c>
      <c r="J22" s="26">
        <v>4</v>
      </c>
      <c r="K22" s="26">
        <v>4</v>
      </c>
      <c r="L22" s="26">
        <v>3</v>
      </c>
      <c r="M22" s="26">
        <v>4</v>
      </c>
      <c r="N22" s="26">
        <v>4</v>
      </c>
      <c r="O22" s="26">
        <v>3</v>
      </c>
      <c r="P22" s="26">
        <v>4</v>
      </c>
      <c r="Q22" s="26">
        <v>3</v>
      </c>
      <c r="R22" s="26">
        <v>3</v>
      </c>
      <c r="S22" s="28">
        <f t="shared" si="0"/>
        <v>37.3</v>
      </c>
      <c r="T22" s="26">
        <v>4</v>
      </c>
      <c r="U22" s="26">
        <v>4</v>
      </c>
      <c r="V22" s="26">
        <v>4</v>
      </c>
      <c r="W22" s="26">
        <v>4</v>
      </c>
      <c r="X22" s="26">
        <v>4</v>
      </c>
      <c r="Y22" s="26">
        <v>4</v>
      </c>
      <c r="Z22" s="28">
        <f t="shared" si="1"/>
        <v>30</v>
      </c>
      <c r="AA22" s="26">
        <v>4</v>
      </c>
      <c r="AB22" s="26">
        <v>4</v>
      </c>
      <c r="AC22" s="26">
        <v>3</v>
      </c>
      <c r="AD22" s="28">
        <f t="shared" si="2"/>
        <v>9.25</v>
      </c>
      <c r="AE22" s="26">
        <v>4</v>
      </c>
      <c r="AF22" s="26">
        <v>4</v>
      </c>
      <c r="AG22" s="26">
        <v>3</v>
      </c>
      <c r="AH22" s="28">
        <f t="shared" si="3"/>
        <v>9.25</v>
      </c>
      <c r="AI22" s="26">
        <v>4</v>
      </c>
      <c r="AJ22" s="26">
        <v>3</v>
      </c>
      <c r="AK22" s="28">
        <f t="shared" si="4"/>
        <v>4.5</v>
      </c>
      <c r="AL22" s="28">
        <f t="shared" si="5"/>
        <v>90.3</v>
      </c>
      <c r="AM22" s="26"/>
      <c r="AN22" s="25" t="str">
        <f t="shared" si="6"/>
        <v>否</v>
      </c>
      <c r="AO22" s="25" t="str">
        <f t="shared" si="7"/>
        <v>合格</v>
      </c>
      <c r="AP22" s="25" t="str">
        <f t="shared" si="8"/>
        <v>合格</v>
      </c>
      <c r="AQ22" s="25" t="str">
        <f t="shared" si="9"/>
        <v>合格</v>
      </c>
      <c r="AR22" s="25" t="str">
        <f t="shared" si="10"/>
        <v>合格</v>
      </c>
      <c r="AS22" s="25" t="str">
        <f t="shared" si="11"/>
        <v>合格</v>
      </c>
      <c r="AT22" s="25" t="str">
        <f t="shared" si="12"/>
        <v>生产可用</v>
      </c>
      <c r="AU22" s="25"/>
      <c r="AV22" s="29"/>
      <c r="AW22" s="30" t="s">
        <v>548</v>
      </c>
    </row>
    <row r="23" ht="51" spans="1:49">
      <c r="A23" s="25" t="s">
        <v>495</v>
      </c>
      <c r="B23" s="26" t="s">
        <v>155</v>
      </c>
      <c r="C23" s="26" t="s">
        <v>67</v>
      </c>
      <c r="D23" s="26" t="s">
        <v>473</v>
      </c>
      <c r="E23" s="27" t="s">
        <v>474</v>
      </c>
      <c r="F23" s="26" t="s">
        <v>471</v>
      </c>
      <c r="G23" s="26"/>
      <c r="H23" s="26"/>
      <c r="I23" s="26">
        <v>3</v>
      </c>
      <c r="J23" s="26">
        <v>4</v>
      </c>
      <c r="K23" s="26">
        <v>4</v>
      </c>
      <c r="L23" s="26">
        <v>3</v>
      </c>
      <c r="M23" s="26">
        <v>4</v>
      </c>
      <c r="N23" s="26">
        <v>4</v>
      </c>
      <c r="O23" s="26">
        <v>4</v>
      </c>
      <c r="P23" s="26">
        <v>4</v>
      </c>
      <c r="Q23" s="26">
        <v>3</v>
      </c>
      <c r="R23" s="26">
        <v>3</v>
      </c>
      <c r="S23" s="28">
        <f t="shared" si="0"/>
        <v>38.3</v>
      </c>
      <c r="T23" s="26">
        <v>4</v>
      </c>
      <c r="U23" s="26">
        <v>4</v>
      </c>
      <c r="V23" s="26">
        <v>4</v>
      </c>
      <c r="W23" s="26">
        <v>4</v>
      </c>
      <c r="X23" s="26">
        <v>4</v>
      </c>
      <c r="Y23" s="26">
        <v>4</v>
      </c>
      <c r="Z23" s="28">
        <f t="shared" si="1"/>
        <v>30</v>
      </c>
      <c r="AA23" s="26">
        <v>4</v>
      </c>
      <c r="AB23" s="26">
        <v>4</v>
      </c>
      <c r="AC23" s="26">
        <v>3</v>
      </c>
      <c r="AD23" s="28">
        <f t="shared" si="2"/>
        <v>9.25</v>
      </c>
      <c r="AE23" s="26">
        <v>4</v>
      </c>
      <c r="AF23" s="26">
        <v>4</v>
      </c>
      <c r="AG23" s="26">
        <v>3</v>
      </c>
      <c r="AH23" s="28">
        <f t="shared" si="3"/>
        <v>9.25</v>
      </c>
      <c r="AI23" s="26">
        <v>4</v>
      </c>
      <c r="AJ23" s="26">
        <v>3</v>
      </c>
      <c r="AK23" s="28">
        <f t="shared" si="4"/>
        <v>4.5</v>
      </c>
      <c r="AL23" s="28">
        <f t="shared" si="5"/>
        <v>91.3</v>
      </c>
      <c r="AM23" s="26"/>
      <c r="AN23" s="25" t="str">
        <f t="shared" si="6"/>
        <v>否</v>
      </c>
      <c r="AO23" s="25" t="str">
        <f t="shared" si="7"/>
        <v>合格</v>
      </c>
      <c r="AP23" s="25" t="str">
        <f t="shared" si="8"/>
        <v>合格</v>
      </c>
      <c r="AQ23" s="25" t="str">
        <f t="shared" si="9"/>
        <v>合格</v>
      </c>
      <c r="AR23" s="25" t="str">
        <f t="shared" si="10"/>
        <v>合格</v>
      </c>
      <c r="AS23" s="25" t="str">
        <f t="shared" si="11"/>
        <v>合格</v>
      </c>
      <c r="AT23" s="25" t="str">
        <f t="shared" si="12"/>
        <v>生产可用</v>
      </c>
      <c r="AU23" s="25"/>
      <c r="AV23" s="29"/>
      <c r="AW23" s="30" t="s">
        <v>549</v>
      </c>
    </row>
    <row r="24" ht="51" spans="1:49">
      <c r="A24" s="25" t="s">
        <v>496</v>
      </c>
      <c r="B24" s="26" t="s">
        <v>155</v>
      </c>
      <c r="C24" s="26" t="s">
        <v>67</v>
      </c>
      <c r="D24" s="26" t="s">
        <v>477</v>
      </c>
      <c r="E24" s="27">
        <v>2.5</v>
      </c>
      <c r="F24" s="26" t="s">
        <v>469</v>
      </c>
      <c r="G24" s="26"/>
      <c r="H24" s="26"/>
      <c r="I24" s="26">
        <v>5</v>
      </c>
      <c r="J24" s="26">
        <v>5</v>
      </c>
      <c r="K24" s="26">
        <v>5</v>
      </c>
      <c r="L24" s="26">
        <v>4</v>
      </c>
      <c r="M24" s="26">
        <v>4</v>
      </c>
      <c r="N24" s="26">
        <v>4</v>
      </c>
      <c r="O24" s="26">
        <v>4</v>
      </c>
      <c r="P24" s="26">
        <v>4</v>
      </c>
      <c r="Q24" s="26">
        <v>4</v>
      </c>
      <c r="R24" s="26">
        <v>4</v>
      </c>
      <c r="S24" s="28">
        <f t="shared" si="0"/>
        <v>45</v>
      </c>
      <c r="T24" s="26">
        <v>4</v>
      </c>
      <c r="U24" s="26">
        <v>4</v>
      </c>
      <c r="V24" s="26">
        <v>4</v>
      </c>
      <c r="W24" s="26">
        <v>3</v>
      </c>
      <c r="X24" s="26">
        <v>4</v>
      </c>
      <c r="Y24" s="26">
        <v>3</v>
      </c>
      <c r="Z24" s="28">
        <f t="shared" si="1"/>
        <v>28.25</v>
      </c>
      <c r="AA24" s="26">
        <v>2</v>
      </c>
      <c r="AB24" s="26">
        <v>3</v>
      </c>
      <c r="AC24" s="26">
        <v>4</v>
      </c>
      <c r="AD24" s="28">
        <f t="shared" si="2"/>
        <v>7.25</v>
      </c>
      <c r="AE24" s="26">
        <v>4</v>
      </c>
      <c r="AF24" s="26">
        <v>4</v>
      </c>
      <c r="AG24" s="26">
        <v>4</v>
      </c>
      <c r="AH24" s="28">
        <f t="shared" si="3"/>
        <v>10</v>
      </c>
      <c r="AI24" s="26">
        <v>4</v>
      </c>
      <c r="AJ24" s="26">
        <v>3</v>
      </c>
      <c r="AK24" s="28">
        <f t="shared" si="4"/>
        <v>4.5</v>
      </c>
      <c r="AL24" s="28">
        <f t="shared" si="5"/>
        <v>95</v>
      </c>
      <c r="AM24" s="26"/>
      <c r="AN24" s="25" t="str">
        <f t="shared" si="6"/>
        <v>否</v>
      </c>
      <c r="AO24" s="25" t="str">
        <f t="shared" si="7"/>
        <v>合格</v>
      </c>
      <c r="AP24" s="25" t="str">
        <f t="shared" si="8"/>
        <v>合格</v>
      </c>
      <c r="AQ24" s="25" t="str">
        <f t="shared" si="9"/>
        <v>合格</v>
      </c>
      <c r="AR24" s="25" t="str">
        <f t="shared" si="10"/>
        <v>合格</v>
      </c>
      <c r="AS24" s="25" t="str">
        <f t="shared" si="11"/>
        <v>合格</v>
      </c>
      <c r="AT24" s="25" t="str">
        <f t="shared" si="12"/>
        <v>生产可用</v>
      </c>
      <c r="AU24" s="25"/>
      <c r="AV24" s="29"/>
      <c r="AW24" s="30" t="s">
        <v>550</v>
      </c>
    </row>
    <row r="25" ht="34" spans="1:49">
      <c r="A25" s="25" t="s">
        <v>497</v>
      </c>
      <c r="B25" s="26" t="s">
        <v>155</v>
      </c>
      <c r="C25" s="26" t="s">
        <v>67</v>
      </c>
      <c r="D25" s="26" t="s">
        <v>477</v>
      </c>
      <c r="E25" s="27">
        <v>2.5</v>
      </c>
      <c r="F25" s="26" t="s">
        <v>471</v>
      </c>
      <c r="G25" s="26"/>
      <c r="H25" s="26"/>
      <c r="I25" s="26">
        <v>5</v>
      </c>
      <c r="J25" s="26">
        <v>5</v>
      </c>
      <c r="K25" s="26">
        <v>5</v>
      </c>
      <c r="L25" s="26">
        <v>4</v>
      </c>
      <c r="M25" s="26">
        <v>4</v>
      </c>
      <c r="N25" s="26">
        <v>4</v>
      </c>
      <c r="O25" s="26">
        <v>4</v>
      </c>
      <c r="P25" s="26">
        <v>4</v>
      </c>
      <c r="Q25" s="26">
        <v>4</v>
      </c>
      <c r="R25" s="26">
        <v>4</v>
      </c>
      <c r="S25" s="28">
        <f t="shared" si="0"/>
        <v>45</v>
      </c>
      <c r="T25" s="26">
        <v>4</v>
      </c>
      <c r="U25" s="26">
        <v>4</v>
      </c>
      <c r="V25" s="26">
        <v>4</v>
      </c>
      <c r="W25" s="26">
        <v>3</v>
      </c>
      <c r="X25" s="26">
        <v>4</v>
      </c>
      <c r="Y25" s="26">
        <v>4</v>
      </c>
      <c r="Z25" s="28">
        <f t="shared" si="1"/>
        <v>29</v>
      </c>
      <c r="AA25" s="26">
        <v>2</v>
      </c>
      <c r="AB25" s="26">
        <v>3</v>
      </c>
      <c r="AC25" s="26">
        <v>4</v>
      </c>
      <c r="AD25" s="28">
        <f t="shared" si="2"/>
        <v>7.25</v>
      </c>
      <c r="AE25" s="26">
        <v>4</v>
      </c>
      <c r="AF25" s="26">
        <v>4</v>
      </c>
      <c r="AG25" s="26">
        <v>4</v>
      </c>
      <c r="AH25" s="28">
        <f t="shared" si="3"/>
        <v>10</v>
      </c>
      <c r="AI25" s="26">
        <v>4</v>
      </c>
      <c r="AJ25" s="26">
        <v>3</v>
      </c>
      <c r="AK25" s="28">
        <f t="shared" si="4"/>
        <v>4.5</v>
      </c>
      <c r="AL25" s="28">
        <f t="shared" si="5"/>
        <v>95.75</v>
      </c>
      <c r="AM25" s="26"/>
      <c r="AN25" s="25" t="str">
        <f t="shared" si="6"/>
        <v>否</v>
      </c>
      <c r="AO25" s="25" t="str">
        <f t="shared" si="7"/>
        <v>合格</v>
      </c>
      <c r="AP25" s="25" t="str">
        <f t="shared" si="8"/>
        <v>合格</v>
      </c>
      <c r="AQ25" s="25" t="str">
        <f t="shared" si="9"/>
        <v>合格</v>
      </c>
      <c r="AR25" s="25" t="str">
        <f t="shared" si="10"/>
        <v>合格</v>
      </c>
      <c r="AS25" s="25" t="str">
        <f t="shared" si="11"/>
        <v>合格</v>
      </c>
      <c r="AT25" s="25" t="str">
        <f t="shared" si="12"/>
        <v>生产可用</v>
      </c>
      <c r="AU25" s="25"/>
      <c r="AV25" s="29"/>
      <c r="AW25" s="30" t="s">
        <v>551</v>
      </c>
    </row>
    <row r="26" ht="68" spans="1:49">
      <c r="A26" s="25" t="s">
        <v>498</v>
      </c>
      <c r="B26" s="26" t="s">
        <v>164</v>
      </c>
      <c r="C26" s="26" t="s">
        <v>74</v>
      </c>
      <c r="D26" s="26" t="s">
        <v>467</v>
      </c>
      <c r="E26" s="27" t="s">
        <v>468</v>
      </c>
      <c r="F26" s="26" t="s">
        <v>469</v>
      </c>
      <c r="G26" s="26"/>
      <c r="H26" s="26"/>
      <c r="I26" s="26">
        <v>4</v>
      </c>
      <c r="J26" s="26">
        <v>4</v>
      </c>
      <c r="K26" s="26">
        <v>4</v>
      </c>
      <c r="L26" s="26">
        <v>3</v>
      </c>
      <c r="M26" s="26">
        <v>4</v>
      </c>
      <c r="N26" s="26">
        <v>3</v>
      </c>
      <c r="O26" s="26">
        <v>4</v>
      </c>
      <c r="P26" s="26">
        <v>4</v>
      </c>
      <c r="Q26" s="26">
        <v>4</v>
      </c>
      <c r="R26" s="26">
        <v>4</v>
      </c>
      <c r="S26" s="28">
        <f t="shared" si="0"/>
        <v>39.1</v>
      </c>
      <c r="T26" s="26">
        <v>4</v>
      </c>
      <c r="U26" s="26">
        <v>2</v>
      </c>
      <c r="V26" s="26">
        <v>4</v>
      </c>
      <c r="W26" s="26">
        <v>2</v>
      </c>
      <c r="X26" s="26">
        <v>4</v>
      </c>
      <c r="Y26" s="26">
        <v>4</v>
      </c>
      <c r="Z26" s="28">
        <f t="shared" si="1"/>
        <v>25</v>
      </c>
      <c r="AA26" s="26">
        <v>4</v>
      </c>
      <c r="AB26" s="26">
        <v>4</v>
      </c>
      <c r="AC26" s="26">
        <v>4</v>
      </c>
      <c r="AD26" s="28">
        <f t="shared" si="2"/>
        <v>10</v>
      </c>
      <c r="AE26" s="26">
        <v>4</v>
      </c>
      <c r="AF26" s="26">
        <v>4</v>
      </c>
      <c r="AG26" s="26">
        <v>4</v>
      </c>
      <c r="AH26" s="28">
        <f t="shared" si="3"/>
        <v>10</v>
      </c>
      <c r="AI26" s="26">
        <v>4</v>
      </c>
      <c r="AJ26" s="26">
        <v>3</v>
      </c>
      <c r="AK26" s="28">
        <f t="shared" si="4"/>
        <v>4.5</v>
      </c>
      <c r="AL26" s="28">
        <f t="shared" si="5"/>
        <v>88.6</v>
      </c>
      <c r="AM26" s="26"/>
      <c r="AN26" s="25" t="str">
        <f t="shared" si="6"/>
        <v>否</v>
      </c>
      <c r="AO26" s="25" t="str">
        <f t="shared" si="7"/>
        <v>合格</v>
      </c>
      <c r="AP26" s="25" t="str">
        <f t="shared" si="8"/>
        <v>合格</v>
      </c>
      <c r="AQ26" s="25" t="str">
        <f t="shared" si="9"/>
        <v>合格</v>
      </c>
      <c r="AR26" s="25" t="str">
        <f t="shared" si="10"/>
        <v>合格</v>
      </c>
      <c r="AS26" s="25" t="str">
        <f t="shared" si="11"/>
        <v>合格</v>
      </c>
      <c r="AT26" s="25" t="str">
        <f t="shared" si="12"/>
        <v>生产可用</v>
      </c>
      <c r="AU26" s="25"/>
      <c r="AV26" s="29"/>
      <c r="AW26" s="30" t="s">
        <v>552</v>
      </c>
    </row>
    <row r="27" ht="51" spans="1:49">
      <c r="A27" s="25" t="s">
        <v>499</v>
      </c>
      <c r="B27" s="26" t="s">
        <v>164</v>
      </c>
      <c r="C27" s="26" t="s">
        <v>74</v>
      </c>
      <c r="D27" s="26" t="s">
        <v>467</v>
      </c>
      <c r="E27" s="27" t="s">
        <v>468</v>
      </c>
      <c r="F27" s="26" t="s">
        <v>471</v>
      </c>
      <c r="G27" s="26"/>
      <c r="H27" s="26"/>
      <c r="I27" s="26">
        <v>4</v>
      </c>
      <c r="J27" s="26">
        <v>4</v>
      </c>
      <c r="K27" s="26">
        <v>4</v>
      </c>
      <c r="L27" s="26">
        <v>3</v>
      </c>
      <c r="M27" s="26">
        <v>4</v>
      </c>
      <c r="N27" s="26">
        <v>4</v>
      </c>
      <c r="O27" s="26">
        <v>4</v>
      </c>
      <c r="P27" s="26">
        <v>4</v>
      </c>
      <c r="Q27" s="26">
        <v>4</v>
      </c>
      <c r="R27" s="26">
        <v>4</v>
      </c>
      <c r="S27" s="28">
        <f t="shared" si="0"/>
        <v>40.6</v>
      </c>
      <c r="T27" s="26">
        <v>4</v>
      </c>
      <c r="U27" s="26">
        <v>4</v>
      </c>
      <c r="V27" s="26">
        <v>4</v>
      </c>
      <c r="W27" s="26">
        <v>3</v>
      </c>
      <c r="X27" s="26">
        <v>4</v>
      </c>
      <c r="Y27" s="26">
        <v>4</v>
      </c>
      <c r="Z27" s="28">
        <f t="shared" si="1"/>
        <v>29</v>
      </c>
      <c r="AA27" s="26">
        <v>4</v>
      </c>
      <c r="AB27" s="26">
        <v>4</v>
      </c>
      <c r="AC27" s="26">
        <v>4</v>
      </c>
      <c r="AD27" s="28">
        <f t="shared" si="2"/>
        <v>10</v>
      </c>
      <c r="AE27" s="26">
        <v>4</v>
      </c>
      <c r="AF27" s="26">
        <v>4</v>
      </c>
      <c r="AG27" s="26">
        <v>4</v>
      </c>
      <c r="AH27" s="28">
        <f t="shared" si="3"/>
        <v>10</v>
      </c>
      <c r="AI27" s="26">
        <v>4</v>
      </c>
      <c r="AJ27" s="26">
        <v>4</v>
      </c>
      <c r="AK27" s="28">
        <f t="shared" si="4"/>
        <v>5</v>
      </c>
      <c r="AL27" s="28">
        <f t="shared" si="5"/>
        <v>94.6</v>
      </c>
      <c r="AM27" s="26"/>
      <c r="AN27" s="25" t="str">
        <f t="shared" si="6"/>
        <v>否</v>
      </c>
      <c r="AO27" s="25" t="str">
        <f t="shared" si="7"/>
        <v>合格</v>
      </c>
      <c r="AP27" s="25" t="str">
        <f t="shared" si="8"/>
        <v>合格</v>
      </c>
      <c r="AQ27" s="25" t="str">
        <f t="shared" si="9"/>
        <v>合格</v>
      </c>
      <c r="AR27" s="25" t="str">
        <f t="shared" si="10"/>
        <v>合格</v>
      </c>
      <c r="AS27" s="25" t="str">
        <f t="shared" si="11"/>
        <v>合格</v>
      </c>
      <c r="AT27" s="25" t="str">
        <f t="shared" si="12"/>
        <v>生产可用</v>
      </c>
      <c r="AU27" s="25"/>
      <c r="AV27" s="29"/>
      <c r="AW27" s="30" t="s">
        <v>553</v>
      </c>
    </row>
    <row r="28" ht="51" spans="1:49">
      <c r="A28" s="25" t="s">
        <v>500</v>
      </c>
      <c r="B28" s="26" t="s">
        <v>164</v>
      </c>
      <c r="C28" s="26" t="s">
        <v>74</v>
      </c>
      <c r="D28" s="26" t="s">
        <v>473</v>
      </c>
      <c r="E28" s="27" t="s">
        <v>474</v>
      </c>
      <c r="F28" s="26" t="s">
        <v>469</v>
      </c>
      <c r="G28" s="26"/>
      <c r="H28" s="26"/>
      <c r="I28" s="26">
        <v>4</v>
      </c>
      <c r="J28" s="26">
        <v>4</v>
      </c>
      <c r="K28" s="26">
        <v>4</v>
      </c>
      <c r="L28" s="26">
        <v>3</v>
      </c>
      <c r="M28" s="26">
        <v>4</v>
      </c>
      <c r="N28" s="26">
        <v>4</v>
      </c>
      <c r="O28" s="26">
        <v>4</v>
      </c>
      <c r="P28" s="26">
        <v>4</v>
      </c>
      <c r="Q28" s="26">
        <v>4</v>
      </c>
      <c r="R28" s="26">
        <v>3</v>
      </c>
      <c r="S28" s="28">
        <f t="shared" si="0"/>
        <v>40.1</v>
      </c>
      <c r="T28" s="26">
        <v>4</v>
      </c>
      <c r="U28" s="26">
        <v>3</v>
      </c>
      <c r="V28" s="26">
        <v>4</v>
      </c>
      <c r="W28" s="26">
        <v>3</v>
      </c>
      <c r="X28" s="26">
        <v>4</v>
      </c>
      <c r="Y28" s="26">
        <v>4</v>
      </c>
      <c r="Z28" s="28">
        <f t="shared" si="1"/>
        <v>27.5</v>
      </c>
      <c r="AA28" s="26">
        <v>4</v>
      </c>
      <c r="AB28" s="26">
        <v>4</v>
      </c>
      <c r="AC28" s="26">
        <v>4</v>
      </c>
      <c r="AD28" s="28">
        <f t="shared" si="2"/>
        <v>10</v>
      </c>
      <c r="AE28" s="26">
        <v>4</v>
      </c>
      <c r="AF28" s="26">
        <v>4</v>
      </c>
      <c r="AG28" s="26">
        <v>3</v>
      </c>
      <c r="AH28" s="28">
        <f t="shared" si="3"/>
        <v>9.25</v>
      </c>
      <c r="AI28" s="26">
        <v>4</v>
      </c>
      <c r="AJ28" s="26">
        <v>4</v>
      </c>
      <c r="AK28" s="28">
        <f t="shared" si="4"/>
        <v>5</v>
      </c>
      <c r="AL28" s="28">
        <f t="shared" si="5"/>
        <v>91.85</v>
      </c>
      <c r="AM28" s="26"/>
      <c r="AN28" s="25" t="str">
        <f t="shared" si="6"/>
        <v>否</v>
      </c>
      <c r="AO28" s="25" t="str">
        <f t="shared" si="7"/>
        <v>合格</v>
      </c>
      <c r="AP28" s="25" t="str">
        <f t="shared" si="8"/>
        <v>合格</v>
      </c>
      <c r="AQ28" s="25" t="str">
        <f t="shared" si="9"/>
        <v>合格</v>
      </c>
      <c r="AR28" s="25" t="str">
        <f t="shared" si="10"/>
        <v>合格</v>
      </c>
      <c r="AS28" s="25" t="str">
        <f t="shared" si="11"/>
        <v>合格</v>
      </c>
      <c r="AT28" s="25" t="str">
        <f t="shared" si="12"/>
        <v>生产可用</v>
      </c>
      <c r="AU28" s="25"/>
      <c r="AV28" s="29"/>
      <c r="AW28" s="30" t="s">
        <v>554</v>
      </c>
    </row>
    <row r="29" ht="51" spans="1:49">
      <c r="A29" s="25" t="s">
        <v>501</v>
      </c>
      <c r="B29" s="26" t="s">
        <v>164</v>
      </c>
      <c r="C29" s="26" t="s">
        <v>74</v>
      </c>
      <c r="D29" s="26" t="s">
        <v>473</v>
      </c>
      <c r="E29" s="27" t="s">
        <v>474</v>
      </c>
      <c r="F29" s="26" t="s">
        <v>471</v>
      </c>
      <c r="G29" s="26"/>
      <c r="H29" s="26"/>
      <c r="I29" s="26">
        <v>4</v>
      </c>
      <c r="J29" s="26">
        <v>4</v>
      </c>
      <c r="K29" s="26">
        <v>4</v>
      </c>
      <c r="L29" s="26">
        <v>3</v>
      </c>
      <c r="M29" s="26">
        <v>4</v>
      </c>
      <c r="N29" s="26">
        <v>4</v>
      </c>
      <c r="O29" s="26">
        <v>4</v>
      </c>
      <c r="P29" s="26">
        <v>4</v>
      </c>
      <c r="Q29" s="26">
        <v>4</v>
      </c>
      <c r="R29" s="26">
        <v>3</v>
      </c>
      <c r="S29" s="28">
        <f t="shared" si="0"/>
        <v>40.1</v>
      </c>
      <c r="T29" s="26">
        <v>4</v>
      </c>
      <c r="U29" s="26">
        <v>4</v>
      </c>
      <c r="V29" s="26">
        <v>4</v>
      </c>
      <c r="W29" s="26">
        <v>3</v>
      </c>
      <c r="X29" s="26">
        <v>4</v>
      </c>
      <c r="Y29" s="26">
        <v>4</v>
      </c>
      <c r="Z29" s="28">
        <f t="shared" si="1"/>
        <v>29</v>
      </c>
      <c r="AA29" s="26">
        <v>4</v>
      </c>
      <c r="AB29" s="26">
        <v>4</v>
      </c>
      <c r="AC29" s="26">
        <v>4</v>
      </c>
      <c r="AD29" s="28">
        <f t="shared" si="2"/>
        <v>10</v>
      </c>
      <c r="AE29" s="26">
        <v>4</v>
      </c>
      <c r="AF29" s="26">
        <v>4</v>
      </c>
      <c r="AG29" s="26">
        <v>3</v>
      </c>
      <c r="AH29" s="28">
        <f t="shared" si="3"/>
        <v>9.25</v>
      </c>
      <c r="AI29" s="26">
        <v>4</v>
      </c>
      <c r="AJ29" s="26">
        <v>4</v>
      </c>
      <c r="AK29" s="28">
        <f t="shared" si="4"/>
        <v>5</v>
      </c>
      <c r="AL29" s="28">
        <f t="shared" si="5"/>
        <v>93.35</v>
      </c>
      <c r="AM29" s="26"/>
      <c r="AN29" s="25" t="str">
        <f t="shared" si="6"/>
        <v>否</v>
      </c>
      <c r="AO29" s="25" t="str">
        <f t="shared" si="7"/>
        <v>合格</v>
      </c>
      <c r="AP29" s="25" t="str">
        <f t="shared" si="8"/>
        <v>合格</v>
      </c>
      <c r="AQ29" s="25" t="str">
        <f t="shared" si="9"/>
        <v>合格</v>
      </c>
      <c r="AR29" s="25" t="str">
        <f t="shared" si="10"/>
        <v>合格</v>
      </c>
      <c r="AS29" s="25" t="str">
        <f t="shared" si="11"/>
        <v>合格</v>
      </c>
      <c r="AT29" s="25" t="str">
        <f t="shared" si="12"/>
        <v>生产可用</v>
      </c>
      <c r="AU29" s="25"/>
      <c r="AV29" s="29"/>
      <c r="AW29" s="30" t="s">
        <v>555</v>
      </c>
    </row>
    <row r="30" ht="84" spans="1:49">
      <c r="A30" s="25" t="s">
        <v>502</v>
      </c>
      <c r="B30" s="26" t="s">
        <v>164</v>
      </c>
      <c r="C30" s="26" t="s">
        <v>74</v>
      </c>
      <c r="D30" s="26" t="s">
        <v>477</v>
      </c>
      <c r="E30" s="27">
        <v>2.5</v>
      </c>
      <c r="F30" s="26" t="s">
        <v>469</v>
      </c>
      <c r="G30" s="26"/>
      <c r="H30" s="26"/>
      <c r="I30" s="26">
        <v>5</v>
      </c>
      <c r="J30" s="26">
        <v>4</v>
      </c>
      <c r="K30" s="26">
        <v>4</v>
      </c>
      <c r="L30" s="26">
        <v>4</v>
      </c>
      <c r="M30" s="26">
        <v>4</v>
      </c>
      <c r="N30" s="26">
        <v>3</v>
      </c>
      <c r="O30" s="26">
        <v>4</v>
      </c>
      <c r="P30" s="26">
        <v>4</v>
      </c>
      <c r="Q30" s="26">
        <v>4</v>
      </c>
      <c r="R30" s="26">
        <v>4</v>
      </c>
      <c r="S30" s="28">
        <f t="shared" si="0"/>
        <v>41.9</v>
      </c>
      <c r="T30" s="26">
        <v>4</v>
      </c>
      <c r="U30" s="26">
        <v>4</v>
      </c>
      <c r="V30" s="26">
        <v>4</v>
      </c>
      <c r="W30" s="26">
        <v>3</v>
      </c>
      <c r="X30" s="26">
        <v>3</v>
      </c>
      <c r="Y30" s="26">
        <v>4</v>
      </c>
      <c r="Z30" s="28">
        <f t="shared" si="1"/>
        <v>28</v>
      </c>
      <c r="AA30" s="26">
        <v>2</v>
      </c>
      <c r="AB30" s="26">
        <v>3</v>
      </c>
      <c r="AC30" s="26">
        <v>4</v>
      </c>
      <c r="AD30" s="28">
        <f t="shared" si="2"/>
        <v>7.25</v>
      </c>
      <c r="AE30" s="26">
        <v>4</v>
      </c>
      <c r="AF30" s="26">
        <v>4</v>
      </c>
      <c r="AG30" s="26">
        <v>4</v>
      </c>
      <c r="AH30" s="28">
        <f t="shared" si="3"/>
        <v>10</v>
      </c>
      <c r="AI30" s="26">
        <v>4</v>
      </c>
      <c r="AJ30" s="26">
        <v>4</v>
      </c>
      <c r="AK30" s="28">
        <f t="shared" si="4"/>
        <v>5</v>
      </c>
      <c r="AL30" s="28">
        <f t="shared" si="5"/>
        <v>92.15</v>
      </c>
      <c r="AM30" s="26"/>
      <c r="AN30" s="25" t="str">
        <f t="shared" si="6"/>
        <v>否</v>
      </c>
      <c r="AO30" s="25" t="str">
        <f t="shared" si="7"/>
        <v>合格</v>
      </c>
      <c r="AP30" s="25" t="str">
        <f t="shared" si="8"/>
        <v>合格</v>
      </c>
      <c r="AQ30" s="25" t="str">
        <f t="shared" si="9"/>
        <v>合格</v>
      </c>
      <c r="AR30" s="25" t="str">
        <f t="shared" si="10"/>
        <v>合格</v>
      </c>
      <c r="AS30" s="25" t="str">
        <f t="shared" si="11"/>
        <v>合格</v>
      </c>
      <c r="AT30" s="25" t="str">
        <f t="shared" si="12"/>
        <v>生产可用</v>
      </c>
      <c r="AU30" s="25"/>
      <c r="AV30" s="29"/>
      <c r="AW30" s="30" t="s">
        <v>556</v>
      </c>
    </row>
    <row r="31" ht="68" spans="1:49">
      <c r="A31" s="25" t="s">
        <v>503</v>
      </c>
      <c r="B31" s="26" t="s">
        <v>164</v>
      </c>
      <c r="C31" s="26" t="s">
        <v>74</v>
      </c>
      <c r="D31" s="26" t="s">
        <v>477</v>
      </c>
      <c r="E31" s="27">
        <v>2.5</v>
      </c>
      <c r="F31" s="26" t="s">
        <v>471</v>
      </c>
      <c r="G31" s="26"/>
      <c r="H31" s="26"/>
      <c r="I31" s="26">
        <v>5</v>
      </c>
      <c r="J31" s="26">
        <v>4</v>
      </c>
      <c r="K31" s="26">
        <v>4</v>
      </c>
      <c r="L31" s="26">
        <v>4</v>
      </c>
      <c r="M31" s="26">
        <v>4</v>
      </c>
      <c r="N31" s="26">
        <v>3</v>
      </c>
      <c r="O31" s="26">
        <v>4</v>
      </c>
      <c r="P31" s="26">
        <v>4</v>
      </c>
      <c r="Q31" s="26">
        <v>4</v>
      </c>
      <c r="R31" s="26">
        <v>4</v>
      </c>
      <c r="S31" s="28">
        <f t="shared" si="0"/>
        <v>41.9</v>
      </c>
      <c r="T31" s="26">
        <v>4</v>
      </c>
      <c r="U31" s="26">
        <v>4</v>
      </c>
      <c r="V31" s="26">
        <v>4</v>
      </c>
      <c r="W31" s="26">
        <v>3</v>
      </c>
      <c r="X31" s="26">
        <v>3</v>
      </c>
      <c r="Y31" s="26">
        <v>4</v>
      </c>
      <c r="Z31" s="28">
        <f t="shared" si="1"/>
        <v>28</v>
      </c>
      <c r="AA31" s="26">
        <v>2</v>
      </c>
      <c r="AB31" s="26">
        <v>3</v>
      </c>
      <c r="AC31" s="26">
        <v>4</v>
      </c>
      <c r="AD31" s="28">
        <f t="shared" si="2"/>
        <v>7.25</v>
      </c>
      <c r="AE31" s="26">
        <v>4</v>
      </c>
      <c r="AF31" s="26">
        <v>4</v>
      </c>
      <c r="AG31" s="26">
        <v>4</v>
      </c>
      <c r="AH31" s="28">
        <f t="shared" si="3"/>
        <v>10</v>
      </c>
      <c r="AI31" s="26">
        <v>4</v>
      </c>
      <c r="AJ31" s="26">
        <v>4</v>
      </c>
      <c r="AK31" s="28">
        <f t="shared" si="4"/>
        <v>5</v>
      </c>
      <c r="AL31" s="28">
        <f t="shared" si="5"/>
        <v>92.15</v>
      </c>
      <c r="AM31" s="26"/>
      <c r="AN31" s="25" t="str">
        <f t="shared" si="6"/>
        <v>否</v>
      </c>
      <c r="AO31" s="25" t="str">
        <f t="shared" si="7"/>
        <v>合格</v>
      </c>
      <c r="AP31" s="25" t="str">
        <f t="shared" si="8"/>
        <v>合格</v>
      </c>
      <c r="AQ31" s="25" t="str">
        <f t="shared" si="9"/>
        <v>合格</v>
      </c>
      <c r="AR31" s="25" t="str">
        <f t="shared" si="10"/>
        <v>合格</v>
      </c>
      <c r="AS31" s="25" t="str">
        <f t="shared" si="11"/>
        <v>合格</v>
      </c>
      <c r="AT31" s="25" t="str">
        <f t="shared" si="12"/>
        <v>生产可用</v>
      </c>
      <c r="AU31" s="25"/>
      <c r="AV31" s="29"/>
      <c r="AW31" s="30" t="s">
        <v>557</v>
      </c>
    </row>
    <row r="32" ht="51" spans="1:49">
      <c r="A32" s="25" t="s">
        <v>504</v>
      </c>
      <c r="B32" s="26" t="s">
        <v>174</v>
      </c>
      <c r="C32" s="26" t="s">
        <v>81</v>
      </c>
      <c r="D32" s="26" t="s">
        <v>467</v>
      </c>
      <c r="E32" s="27" t="s">
        <v>468</v>
      </c>
      <c r="F32" s="26" t="s">
        <v>469</v>
      </c>
      <c r="G32" s="26"/>
      <c r="H32" s="26"/>
      <c r="I32" s="26">
        <v>4</v>
      </c>
      <c r="J32" s="26">
        <v>4</v>
      </c>
      <c r="K32" s="26">
        <v>4</v>
      </c>
      <c r="L32" s="26">
        <v>4</v>
      </c>
      <c r="M32" s="26">
        <v>4</v>
      </c>
      <c r="N32" s="26">
        <v>4</v>
      </c>
      <c r="O32" s="26">
        <v>3</v>
      </c>
      <c r="P32" s="26">
        <v>4</v>
      </c>
      <c r="Q32" s="26">
        <v>4</v>
      </c>
      <c r="R32" s="26">
        <v>4</v>
      </c>
      <c r="S32" s="28">
        <f t="shared" si="0"/>
        <v>41.6</v>
      </c>
      <c r="T32" s="26">
        <v>4</v>
      </c>
      <c r="U32" s="26">
        <v>3</v>
      </c>
      <c r="V32" s="26">
        <v>4</v>
      </c>
      <c r="W32" s="26">
        <v>4</v>
      </c>
      <c r="X32" s="26">
        <v>4</v>
      </c>
      <c r="Y32" s="26">
        <v>4</v>
      </c>
      <c r="Z32" s="28">
        <f t="shared" si="1"/>
        <v>28.5</v>
      </c>
      <c r="AA32" s="26">
        <v>4</v>
      </c>
      <c r="AB32" s="26">
        <v>4</v>
      </c>
      <c r="AC32" s="26">
        <v>4</v>
      </c>
      <c r="AD32" s="28">
        <f t="shared" si="2"/>
        <v>10</v>
      </c>
      <c r="AE32" s="26">
        <v>4</v>
      </c>
      <c r="AF32" s="26">
        <v>4</v>
      </c>
      <c r="AG32" s="26">
        <v>4</v>
      </c>
      <c r="AH32" s="28">
        <f t="shared" si="3"/>
        <v>10</v>
      </c>
      <c r="AI32" s="26">
        <v>4</v>
      </c>
      <c r="AJ32" s="26">
        <v>4</v>
      </c>
      <c r="AK32" s="28">
        <f t="shared" si="4"/>
        <v>5</v>
      </c>
      <c r="AL32" s="28">
        <f t="shared" si="5"/>
        <v>95.1</v>
      </c>
      <c r="AM32" s="26"/>
      <c r="AN32" s="25" t="str">
        <f t="shared" si="6"/>
        <v>否</v>
      </c>
      <c r="AO32" s="25" t="str">
        <f t="shared" si="7"/>
        <v>合格</v>
      </c>
      <c r="AP32" s="25" t="str">
        <f t="shared" si="8"/>
        <v>合格</v>
      </c>
      <c r="AQ32" s="25" t="str">
        <f t="shared" si="9"/>
        <v>合格</v>
      </c>
      <c r="AR32" s="25" t="str">
        <f t="shared" si="10"/>
        <v>合格</v>
      </c>
      <c r="AS32" s="25" t="str">
        <f t="shared" si="11"/>
        <v>合格</v>
      </c>
      <c r="AT32" s="25" t="str">
        <f t="shared" si="12"/>
        <v>生产可用</v>
      </c>
      <c r="AU32" s="25"/>
      <c r="AV32" s="29"/>
      <c r="AW32" s="30" t="s">
        <v>558</v>
      </c>
    </row>
    <row r="33" ht="51" spans="1:49">
      <c r="A33" s="25" t="s">
        <v>505</v>
      </c>
      <c r="B33" s="26" t="s">
        <v>174</v>
      </c>
      <c r="C33" s="26" t="s">
        <v>81</v>
      </c>
      <c r="D33" s="26" t="s">
        <v>467</v>
      </c>
      <c r="E33" s="27" t="s">
        <v>468</v>
      </c>
      <c r="F33" s="26" t="s">
        <v>471</v>
      </c>
      <c r="G33" s="26"/>
      <c r="H33" s="26"/>
      <c r="I33" s="26">
        <v>4</v>
      </c>
      <c r="J33" s="26">
        <v>4</v>
      </c>
      <c r="K33" s="26">
        <v>4</v>
      </c>
      <c r="L33" s="26">
        <v>4</v>
      </c>
      <c r="M33" s="26">
        <v>4</v>
      </c>
      <c r="N33" s="26">
        <v>4</v>
      </c>
      <c r="O33" s="26">
        <v>3</v>
      </c>
      <c r="P33" s="26">
        <v>4</v>
      </c>
      <c r="Q33" s="26">
        <v>4</v>
      </c>
      <c r="R33" s="26">
        <v>4</v>
      </c>
      <c r="S33" s="28">
        <f t="shared" si="0"/>
        <v>41.6</v>
      </c>
      <c r="T33" s="26">
        <v>4</v>
      </c>
      <c r="U33" s="26">
        <v>4</v>
      </c>
      <c r="V33" s="26">
        <v>4</v>
      </c>
      <c r="W33" s="26">
        <v>4</v>
      </c>
      <c r="X33" s="26">
        <v>4</v>
      </c>
      <c r="Y33" s="26">
        <v>4</v>
      </c>
      <c r="Z33" s="28">
        <f t="shared" si="1"/>
        <v>30</v>
      </c>
      <c r="AA33" s="26">
        <v>4</v>
      </c>
      <c r="AB33" s="26">
        <v>4</v>
      </c>
      <c r="AC33" s="26">
        <v>4</v>
      </c>
      <c r="AD33" s="28">
        <f t="shared" si="2"/>
        <v>10</v>
      </c>
      <c r="AE33" s="26">
        <v>4</v>
      </c>
      <c r="AF33" s="26">
        <v>4</v>
      </c>
      <c r="AG33" s="26">
        <v>4</v>
      </c>
      <c r="AH33" s="28">
        <f t="shared" si="3"/>
        <v>10</v>
      </c>
      <c r="AI33" s="26">
        <v>4</v>
      </c>
      <c r="AJ33" s="26">
        <v>4</v>
      </c>
      <c r="AK33" s="28">
        <f t="shared" si="4"/>
        <v>5</v>
      </c>
      <c r="AL33" s="28">
        <f t="shared" si="5"/>
        <v>96.6</v>
      </c>
      <c r="AM33" s="26"/>
      <c r="AN33" s="25" t="str">
        <f t="shared" si="6"/>
        <v>否</v>
      </c>
      <c r="AO33" s="25" t="str">
        <f t="shared" si="7"/>
        <v>合格</v>
      </c>
      <c r="AP33" s="25" t="str">
        <f t="shared" si="8"/>
        <v>合格</v>
      </c>
      <c r="AQ33" s="25" t="str">
        <f t="shared" si="9"/>
        <v>合格</v>
      </c>
      <c r="AR33" s="25" t="str">
        <f t="shared" si="10"/>
        <v>合格</v>
      </c>
      <c r="AS33" s="25" t="str">
        <f t="shared" si="11"/>
        <v>合格</v>
      </c>
      <c r="AT33" s="25" t="str">
        <f t="shared" si="12"/>
        <v>生产可用</v>
      </c>
      <c r="AU33" s="25"/>
      <c r="AV33" s="29"/>
      <c r="AW33" s="30" t="s">
        <v>559</v>
      </c>
    </row>
    <row r="34" ht="68" spans="1:49">
      <c r="A34" s="25" t="s">
        <v>506</v>
      </c>
      <c r="B34" s="26" t="s">
        <v>174</v>
      </c>
      <c r="C34" s="26" t="s">
        <v>81</v>
      </c>
      <c r="D34" s="26" t="s">
        <v>473</v>
      </c>
      <c r="E34" s="27" t="s">
        <v>474</v>
      </c>
      <c r="F34" s="26" t="s">
        <v>469</v>
      </c>
      <c r="G34" s="26"/>
      <c r="H34" s="26"/>
      <c r="I34" s="26">
        <v>4</v>
      </c>
      <c r="J34" s="26">
        <v>4</v>
      </c>
      <c r="K34" s="26">
        <v>4</v>
      </c>
      <c r="L34" s="26">
        <v>3</v>
      </c>
      <c r="M34" s="26">
        <v>3</v>
      </c>
      <c r="N34" s="26">
        <v>4</v>
      </c>
      <c r="O34" s="26">
        <v>3</v>
      </c>
      <c r="P34" s="26">
        <v>4</v>
      </c>
      <c r="Q34" s="26">
        <v>3</v>
      </c>
      <c r="R34" s="26">
        <v>4</v>
      </c>
      <c r="S34" s="28">
        <f t="shared" si="0"/>
        <v>37.35</v>
      </c>
      <c r="T34" s="26">
        <v>4</v>
      </c>
      <c r="U34" s="26">
        <v>3</v>
      </c>
      <c r="V34" s="26">
        <v>3</v>
      </c>
      <c r="W34" s="26">
        <v>4</v>
      </c>
      <c r="X34" s="26">
        <v>4</v>
      </c>
      <c r="Y34" s="26">
        <v>4</v>
      </c>
      <c r="Z34" s="28">
        <f t="shared" si="1"/>
        <v>27</v>
      </c>
      <c r="AA34" s="26">
        <v>4</v>
      </c>
      <c r="AB34" s="26">
        <v>4</v>
      </c>
      <c r="AC34" s="26">
        <v>4</v>
      </c>
      <c r="AD34" s="28">
        <f t="shared" si="2"/>
        <v>10</v>
      </c>
      <c r="AE34" s="26">
        <v>4</v>
      </c>
      <c r="AF34" s="26">
        <v>4</v>
      </c>
      <c r="AG34" s="26">
        <v>3</v>
      </c>
      <c r="AH34" s="28">
        <f t="shared" si="3"/>
        <v>9.25</v>
      </c>
      <c r="AI34" s="26">
        <v>4</v>
      </c>
      <c r="AJ34" s="26">
        <v>4</v>
      </c>
      <c r="AK34" s="28">
        <f t="shared" si="4"/>
        <v>5</v>
      </c>
      <c r="AL34" s="28">
        <f t="shared" si="5"/>
        <v>88.6</v>
      </c>
      <c r="AM34" s="26"/>
      <c r="AN34" s="25" t="str">
        <f t="shared" si="6"/>
        <v>否</v>
      </c>
      <c r="AO34" s="25" t="str">
        <f t="shared" si="7"/>
        <v>合格</v>
      </c>
      <c r="AP34" s="25" t="str">
        <f t="shared" si="8"/>
        <v>合格</v>
      </c>
      <c r="AQ34" s="25" t="str">
        <f t="shared" si="9"/>
        <v>合格</v>
      </c>
      <c r="AR34" s="25" t="str">
        <f t="shared" si="10"/>
        <v>合格</v>
      </c>
      <c r="AS34" s="25" t="str">
        <f t="shared" si="11"/>
        <v>合格</v>
      </c>
      <c r="AT34" s="25" t="str">
        <f t="shared" si="12"/>
        <v>生产可用</v>
      </c>
      <c r="AU34" s="25"/>
      <c r="AV34" s="29"/>
      <c r="AW34" s="30" t="s">
        <v>560</v>
      </c>
    </row>
    <row r="35" ht="68" spans="1:49">
      <c r="A35" s="25" t="s">
        <v>507</v>
      </c>
      <c r="B35" s="26" t="s">
        <v>174</v>
      </c>
      <c r="C35" s="26" t="s">
        <v>81</v>
      </c>
      <c r="D35" s="26" t="s">
        <v>473</v>
      </c>
      <c r="E35" s="27" t="s">
        <v>474</v>
      </c>
      <c r="F35" s="26" t="s">
        <v>471</v>
      </c>
      <c r="G35" s="26"/>
      <c r="H35" s="26"/>
      <c r="I35" s="26">
        <v>4</v>
      </c>
      <c r="J35" s="26">
        <v>4</v>
      </c>
      <c r="K35" s="26">
        <v>4</v>
      </c>
      <c r="L35" s="26">
        <v>3</v>
      </c>
      <c r="M35" s="26">
        <v>3</v>
      </c>
      <c r="N35" s="26">
        <v>4</v>
      </c>
      <c r="O35" s="26">
        <v>3</v>
      </c>
      <c r="P35" s="26">
        <v>4</v>
      </c>
      <c r="Q35" s="26">
        <v>3</v>
      </c>
      <c r="R35" s="26">
        <v>4</v>
      </c>
      <c r="S35" s="28">
        <f t="shared" si="0"/>
        <v>37.35</v>
      </c>
      <c r="T35" s="26">
        <v>4</v>
      </c>
      <c r="U35" s="26">
        <v>3</v>
      </c>
      <c r="V35" s="26">
        <v>4</v>
      </c>
      <c r="W35" s="26">
        <v>4</v>
      </c>
      <c r="X35" s="26">
        <v>4</v>
      </c>
      <c r="Y35" s="26">
        <v>3</v>
      </c>
      <c r="Z35" s="28">
        <f t="shared" si="1"/>
        <v>27.75</v>
      </c>
      <c r="AA35" s="26">
        <v>4</v>
      </c>
      <c r="AB35" s="26">
        <v>4</v>
      </c>
      <c r="AC35" s="26">
        <v>4</v>
      </c>
      <c r="AD35" s="28">
        <f t="shared" si="2"/>
        <v>10</v>
      </c>
      <c r="AE35" s="26">
        <v>4</v>
      </c>
      <c r="AF35" s="26">
        <v>4</v>
      </c>
      <c r="AG35" s="26">
        <v>3</v>
      </c>
      <c r="AH35" s="28">
        <f t="shared" si="3"/>
        <v>9.25</v>
      </c>
      <c r="AI35" s="26">
        <v>4</v>
      </c>
      <c r="AJ35" s="26">
        <v>4</v>
      </c>
      <c r="AK35" s="28">
        <f t="shared" si="4"/>
        <v>5</v>
      </c>
      <c r="AL35" s="28">
        <f t="shared" si="5"/>
        <v>89.35</v>
      </c>
      <c r="AM35" s="26"/>
      <c r="AN35" s="25" t="str">
        <f t="shared" si="6"/>
        <v>否</v>
      </c>
      <c r="AO35" s="25" t="str">
        <f t="shared" si="7"/>
        <v>合格</v>
      </c>
      <c r="AP35" s="25" t="str">
        <f t="shared" si="8"/>
        <v>合格</v>
      </c>
      <c r="AQ35" s="25" t="str">
        <f t="shared" si="9"/>
        <v>合格</v>
      </c>
      <c r="AR35" s="25" t="str">
        <f t="shared" si="10"/>
        <v>合格</v>
      </c>
      <c r="AS35" s="25" t="str">
        <f t="shared" si="11"/>
        <v>合格</v>
      </c>
      <c r="AT35" s="25" t="str">
        <f t="shared" si="12"/>
        <v>生产可用</v>
      </c>
      <c r="AU35" s="25"/>
      <c r="AV35" s="29"/>
      <c r="AW35" s="30" t="s">
        <v>561</v>
      </c>
    </row>
    <row r="36" ht="34" spans="1:49">
      <c r="A36" s="25" t="s">
        <v>508</v>
      </c>
      <c r="B36" s="26" t="s">
        <v>174</v>
      </c>
      <c r="C36" s="26" t="s">
        <v>81</v>
      </c>
      <c r="D36" s="26" t="s">
        <v>477</v>
      </c>
      <c r="E36" s="27">
        <v>2.5</v>
      </c>
      <c r="F36" s="26" t="s">
        <v>469</v>
      </c>
      <c r="G36" s="26"/>
      <c r="H36" s="26"/>
      <c r="I36" s="26">
        <v>5</v>
      </c>
      <c r="J36" s="26">
        <v>5</v>
      </c>
      <c r="K36" s="26">
        <v>5</v>
      </c>
      <c r="L36" s="26">
        <v>4</v>
      </c>
      <c r="M36" s="26">
        <v>4</v>
      </c>
      <c r="N36" s="26">
        <v>4</v>
      </c>
      <c r="O36" s="26">
        <v>4</v>
      </c>
      <c r="P36" s="26">
        <v>4</v>
      </c>
      <c r="Q36" s="26">
        <v>4</v>
      </c>
      <c r="R36" s="26">
        <v>4</v>
      </c>
      <c r="S36" s="28">
        <f t="shared" si="0"/>
        <v>45</v>
      </c>
      <c r="T36" s="26">
        <v>4</v>
      </c>
      <c r="U36" s="26">
        <v>3</v>
      </c>
      <c r="V36" s="26">
        <v>4</v>
      </c>
      <c r="W36" s="26">
        <v>4</v>
      </c>
      <c r="X36" s="26">
        <v>4</v>
      </c>
      <c r="Y36" s="26">
        <v>4</v>
      </c>
      <c r="Z36" s="28">
        <f t="shared" si="1"/>
        <v>28.5</v>
      </c>
      <c r="AA36" s="26">
        <v>2</v>
      </c>
      <c r="AB36" s="26">
        <v>3</v>
      </c>
      <c r="AC36" s="26">
        <v>4</v>
      </c>
      <c r="AD36" s="28">
        <f t="shared" si="2"/>
        <v>7.25</v>
      </c>
      <c r="AE36" s="26">
        <v>4</v>
      </c>
      <c r="AF36" s="26">
        <v>4</v>
      </c>
      <c r="AG36" s="26">
        <v>4</v>
      </c>
      <c r="AH36" s="28">
        <f t="shared" si="3"/>
        <v>10</v>
      </c>
      <c r="AI36" s="26">
        <v>4</v>
      </c>
      <c r="AJ36" s="26">
        <v>4</v>
      </c>
      <c r="AK36" s="28">
        <f t="shared" si="4"/>
        <v>5</v>
      </c>
      <c r="AL36" s="28">
        <f t="shared" si="5"/>
        <v>95.75</v>
      </c>
      <c r="AM36" s="26"/>
      <c r="AN36" s="25" t="str">
        <f t="shared" si="6"/>
        <v>否</v>
      </c>
      <c r="AO36" s="25" t="str">
        <f t="shared" si="7"/>
        <v>合格</v>
      </c>
      <c r="AP36" s="25" t="str">
        <f t="shared" si="8"/>
        <v>合格</v>
      </c>
      <c r="AQ36" s="25" t="str">
        <f t="shared" si="9"/>
        <v>合格</v>
      </c>
      <c r="AR36" s="25" t="str">
        <f t="shared" si="10"/>
        <v>合格</v>
      </c>
      <c r="AS36" s="25" t="str">
        <f t="shared" si="11"/>
        <v>合格</v>
      </c>
      <c r="AT36" s="25" t="str">
        <f t="shared" si="12"/>
        <v>生产可用</v>
      </c>
      <c r="AU36" s="25"/>
      <c r="AV36" s="29"/>
      <c r="AW36" s="30" t="s">
        <v>562</v>
      </c>
    </row>
    <row r="37" ht="34" spans="1:49">
      <c r="A37" s="25" t="s">
        <v>509</v>
      </c>
      <c r="B37" s="26" t="s">
        <v>174</v>
      </c>
      <c r="C37" s="26" t="s">
        <v>81</v>
      </c>
      <c r="D37" s="26" t="s">
        <v>477</v>
      </c>
      <c r="E37" s="27">
        <v>2.5</v>
      </c>
      <c r="F37" s="26" t="s">
        <v>471</v>
      </c>
      <c r="G37" s="26"/>
      <c r="H37" s="26"/>
      <c r="I37" s="26">
        <v>5</v>
      </c>
      <c r="J37" s="26">
        <v>5</v>
      </c>
      <c r="K37" s="26">
        <v>5</v>
      </c>
      <c r="L37" s="26">
        <v>4</v>
      </c>
      <c r="M37" s="26">
        <v>4</v>
      </c>
      <c r="N37" s="26">
        <v>4</v>
      </c>
      <c r="O37" s="26">
        <v>4</v>
      </c>
      <c r="P37" s="26">
        <v>4</v>
      </c>
      <c r="Q37" s="26">
        <v>4</v>
      </c>
      <c r="R37" s="26">
        <v>4</v>
      </c>
      <c r="S37" s="28">
        <f t="shared" si="0"/>
        <v>45</v>
      </c>
      <c r="T37" s="26">
        <v>4</v>
      </c>
      <c r="U37" s="26">
        <v>3</v>
      </c>
      <c r="V37" s="26">
        <v>4</v>
      </c>
      <c r="W37" s="26">
        <v>4</v>
      </c>
      <c r="X37" s="26">
        <v>4</v>
      </c>
      <c r="Y37" s="26">
        <v>4</v>
      </c>
      <c r="Z37" s="28">
        <f t="shared" si="1"/>
        <v>28.5</v>
      </c>
      <c r="AA37" s="26">
        <v>2</v>
      </c>
      <c r="AB37" s="26">
        <v>3</v>
      </c>
      <c r="AC37" s="26">
        <v>4</v>
      </c>
      <c r="AD37" s="28">
        <f t="shared" si="2"/>
        <v>7.25</v>
      </c>
      <c r="AE37" s="26">
        <v>4</v>
      </c>
      <c r="AF37" s="26">
        <v>4</v>
      </c>
      <c r="AG37" s="26">
        <v>4</v>
      </c>
      <c r="AH37" s="28">
        <f t="shared" si="3"/>
        <v>10</v>
      </c>
      <c r="AI37" s="26">
        <v>4</v>
      </c>
      <c r="AJ37" s="26">
        <v>4</v>
      </c>
      <c r="AK37" s="28">
        <f t="shared" si="4"/>
        <v>5</v>
      </c>
      <c r="AL37" s="28">
        <f t="shared" si="5"/>
        <v>95.75</v>
      </c>
      <c r="AM37" s="26"/>
      <c r="AN37" s="25" t="str">
        <f t="shared" si="6"/>
        <v>否</v>
      </c>
      <c r="AO37" s="25" t="str">
        <f t="shared" si="7"/>
        <v>合格</v>
      </c>
      <c r="AP37" s="25" t="str">
        <f t="shared" si="8"/>
        <v>合格</v>
      </c>
      <c r="AQ37" s="25" t="str">
        <f t="shared" si="9"/>
        <v>合格</v>
      </c>
      <c r="AR37" s="25" t="str">
        <f t="shared" si="10"/>
        <v>合格</v>
      </c>
      <c r="AS37" s="25" t="str">
        <f t="shared" si="11"/>
        <v>合格</v>
      </c>
      <c r="AT37" s="25" t="str">
        <f t="shared" si="12"/>
        <v>生产可用</v>
      </c>
      <c r="AU37" s="25"/>
      <c r="AV37" s="29"/>
      <c r="AW37" s="30" t="s">
        <v>562</v>
      </c>
    </row>
    <row r="38" ht="51" spans="1:49">
      <c r="A38" s="25" t="s">
        <v>510</v>
      </c>
      <c r="B38" s="26" t="s">
        <v>183</v>
      </c>
      <c r="C38" s="26" t="s">
        <v>88</v>
      </c>
      <c r="D38" s="26" t="s">
        <v>467</v>
      </c>
      <c r="E38" s="27" t="s">
        <v>468</v>
      </c>
      <c r="F38" s="26" t="s">
        <v>469</v>
      </c>
      <c r="G38" s="26"/>
      <c r="H38" s="26"/>
      <c r="I38" s="26">
        <v>3</v>
      </c>
      <c r="J38" s="26">
        <v>4</v>
      </c>
      <c r="K38" s="26">
        <v>4</v>
      </c>
      <c r="L38" s="26">
        <v>3</v>
      </c>
      <c r="M38" s="26">
        <v>4</v>
      </c>
      <c r="N38" s="26">
        <v>3</v>
      </c>
      <c r="O38" s="26">
        <v>4</v>
      </c>
      <c r="P38" s="26">
        <v>4</v>
      </c>
      <c r="Q38" s="26">
        <v>4</v>
      </c>
      <c r="R38" s="26">
        <v>4</v>
      </c>
      <c r="S38" s="28">
        <f t="shared" si="0"/>
        <v>38.3</v>
      </c>
      <c r="T38" s="26">
        <v>4</v>
      </c>
      <c r="U38" s="26">
        <v>4</v>
      </c>
      <c r="V38" s="26">
        <v>4</v>
      </c>
      <c r="W38" s="26">
        <v>4</v>
      </c>
      <c r="X38" s="26">
        <v>4</v>
      </c>
      <c r="Y38" s="26">
        <v>4</v>
      </c>
      <c r="Z38" s="28">
        <f t="shared" si="1"/>
        <v>30</v>
      </c>
      <c r="AA38" s="26">
        <v>4</v>
      </c>
      <c r="AB38" s="26">
        <v>4</v>
      </c>
      <c r="AC38" s="26">
        <v>4</v>
      </c>
      <c r="AD38" s="28">
        <f t="shared" si="2"/>
        <v>10</v>
      </c>
      <c r="AE38" s="26">
        <v>4</v>
      </c>
      <c r="AF38" s="26">
        <v>4</v>
      </c>
      <c r="AG38" s="26">
        <v>4</v>
      </c>
      <c r="AH38" s="28">
        <f t="shared" si="3"/>
        <v>10</v>
      </c>
      <c r="AI38" s="26">
        <v>4</v>
      </c>
      <c r="AJ38" s="26">
        <v>4</v>
      </c>
      <c r="AK38" s="28">
        <f t="shared" si="4"/>
        <v>5</v>
      </c>
      <c r="AL38" s="28">
        <f t="shared" si="5"/>
        <v>93.3</v>
      </c>
      <c r="AM38" s="26"/>
      <c r="AN38" s="25" t="str">
        <f t="shared" si="6"/>
        <v>否</v>
      </c>
      <c r="AO38" s="25" t="str">
        <f t="shared" si="7"/>
        <v>合格</v>
      </c>
      <c r="AP38" s="25" t="str">
        <f t="shared" si="8"/>
        <v>合格</v>
      </c>
      <c r="AQ38" s="25" t="str">
        <f t="shared" si="9"/>
        <v>合格</v>
      </c>
      <c r="AR38" s="25" t="str">
        <f t="shared" si="10"/>
        <v>合格</v>
      </c>
      <c r="AS38" s="25" t="str">
        <f t="shared" si="11"/>
        <v>合格</v>
      </c>
      <c r="AT38" s="25" t="str">
        <f t="shared" si="12"/>
        <v>生产可用</v>
      </c>
      <c r="AU38" s="25"/>
      <c r="AV38" s="29"/>
      <c r="AW38" s="30" t="s">
        <v>563</v>
      </c>
    </row>
    <row r="39" ht="34" spans="1:49">
      <c r="A39" s="25" t="s">
        <v>511</v>
      </c>
      <c r="B39" s="26" t="s">
        <v>183</v>
      </c>
      <c r="C39" s="26" t="s">
        <v>88</v>
      </c>
      <c r="D39" s="26" t="s">
        <v>467</v>
      </c>
      <c r="E39" s="27" t="s">
        <v>468</v>
      </c>
      <c r="F39" s="26" t="s">
        <v>471</v>
      </c>
      <c r="G39" s="26"/>
      <c r="H39" s="26"/>
      <c r="I39" s="26">
        <v>4</v>
      </c>
      <c r="J39" s="26">
        <v>4</v>
      </c>
      <c r="K39" s="26">
        <v>4</v>
      </c>
      <c r="L39" s="26">
        <v>3</v>
      </c>
      <c r="M39" s="26">
        <v>4</v>
      </c>
      <c r="N39" s="26">
        <v>4</v>
      </c>
      <c r="O39" s="26">
        <v>4</v>
      </c>
      <c r="P39" s="26">
        <v>4</v>
      </c>
      <c r="Q39" s="26">
        <v>4</v>
      </c>
      <c r="R39" s="26">
        <v>4</v>
      </c>
      <c r="S39" s="28">
        <f t="shared" si="0"/>
        <v>40.6</v>
      </c>
      <c r="T39" s="26">
        <v>4</v>
      </c>
      <c r="U39" s="26">
        <v>4</v>
      </c>
      <c r="V39" s="26">
        <v>4</v>
      </c>
      <c r="W39" s="26">
        <v>4</v>
      </c>
      <c r="X39" s="26">
        <v>4</v>
      </c>
      <c r="Y39" s="26">
        <v>4</v>
      </c>
      <c r="Z39" s="28">
        <f t="shared" si="1"/>
        <v>30</v>
      </c>
      <c r="AA39" s="26">
        <v>4</v>
      </c>
      <c r="AB39" s="26">
        <v>4</v>
      </c>
      <c r="AC39" s="26">
        <v>4</v>
      </c>
      <c r="AD39" s="28">
        <f t="shared" si="2"/>
        <v>10</v>
      </c>
      <c r="AE39" s="26">
        <v>4</v>
      </c>
      <c r="AF39" s="26">
        <v>4</v>
      </c>
      <c r="AG39" s="26">
        <v>4</v>
      </c>
      <c r="AH39" s="28">
        <f t="shared" si="3"/>
        <v>10</v>
      </c>
      <c r="AI39" s="26">
        <v>4</v>
      </c>
      <c r="AJ39" s="26">
        <v>4</v>
      </c>
      <c r="AK39" s="28">
        <f t="shared" si="4"/>
        <v>5</v>
      </c>
      <c r="AL39" s="28">
        <f t="shared" si="5"/>
        <v>95.6</v>
      </c>
      <c r="AM39" s="26"/>
      <c r="AN39" s="25" t="str">
        <f t="shared" si="6"/>
        <v>否</v>
      </c>
      <c r="AO39" s="25" t="str">
        <f t="shared" si="7"/>
        <v>合格</v>
      </c>
      <c r="AP39" s="25" t="str">
        <f t="shared" si="8"/>
        <v>合格</v>
      </c>
      <c r="AQ39" s="25" t="str">
        <f t="shared" si="9"/>
        <v>合格</v>
      </c>
      <c r="AR39" s="25" t="str">
        <f t="shared" si="10"/>
        <v>合格</v>
      </c>
      <c r="AS39" s="25" t="str">
        <f t="shared" si="11"/>
        <v>合格</v>
      </c>
      <c r="AT39" s="25" t="str">
        <f t="shared" si="12"/>
        <v>生产可用</v>
      </c>
      <c r="AU39" s="25"/>
      <c r="AV39" s="29"/>
      <c r="AW39" s="30"/>
    </row>
    <row r="40" ht="68" spans="1:49">
      <c r="A40" s="25" t="s">
        <v>512</v>
      </c>
      <c r="B40" s="26" t="s">
        <v>183</v>
      </c>
      <c r="C40" s="26" t="s">
        <v>88</v>
      </c>
      <c r="D40" s="26" t="s">
        <v>473</v>
      </c>
      <c r="E40" s="27" t="s">
        <v>474</v>
      </c>
      <c r="F40" s="26" t="s">
        <v>469</v>
      </c>
      <c r="G40" s="26"/>
      <c r="H40" s="26"/>
      <c r="I40" s="26">
        <v>3</v>
      </c>
      <c r="J40" s="26">
        <v>4</v>
      </c>
      <c r="K40" s="26">
        <v>3</v>
      </c>
      <c r="L40" s="26">
        <v>3</v>
      </c>
      <c r="M40" s="26">
        <v>4</v>
      </c>
      <c r="N40" s="26">
        <v>3</v>
      </c>
      <c r="O40" s="26">
        <v>4</v>
      </c>
      <c r="P40" s="26">
        <v>4</v>
      </c>
      <c r="Q40" s="26">
        <v>3</v>
      </c>
      <c r="R40" s="26">
        <v>4</v>
      </c>
      <c r="S40" s="28">
        <f t="shared" si="0"/>
        <v>36.5</v>
      </c>
      <c r="T40" s="26">
        <v>4</v>
      </c>
      <c r="U40" s="26">
        <v>4</v>
      </c>
      <c r="V40" s="26">
        <v>4</v>
      </c>
      <c r="W40" s="26">
        <v>4</v>
      </c>
      <c r="X40" s="26">
        <v>4</v>
      </c>
      <c r="Y40" s="26">
        <v>4</v>
      </c>
      <c r="Z40" s="28">
        <f t="shared" si="1"/>
        <v>30</v>
      </c>
      <c r="AA40" s="26">
        <v>4</v>
      </c>
      <c r="AB40" s="26">
        <v>4</v>
      </c>
      <c r="AC40" s="26">
        <v>4</v>
      </c>
      <c r="AD40" s="28">
        <f t="shared" si="2"/>
        <v>10</v>
      </c>
      <c r="AE40" s="26">
        <v>4</v>
      </c>
      <c r="AF40" s="26">
        <v>4</v>
      </c>
      <c r="AG40" s="26">
        <v>3</v>
      </c>
      <c r="AH40" s="28">
        <f t="shared" si="3"/>
        <v>9.25</v>
      </c>
      <c r="AI40" s="26">
        <v>4</v>
      </c>
      <c r="AJ40" s="26">
        <v>4</v>
      </c>
      <c r="AK40" s="28">
        <f t="shared" si="4"/>
        <v>5</v>
      </c>
      <c r="AL40" s="28">
        <f t="shared" si="5"/>
        <v>90.75</v>
      </c>
      <c r="AM40" s="26"/>
      <c r="AN40" s="25" t="str">
        <f t="shared" si="6"/>
        <v>否</v>
      </c>
      <c r="AO40" s="25" t="str">
        <f t="shared" si="7"/>
        <v>合格</v>
      </c>
      <c r="AP40" s="25" t="str">
        <f t="shared" si="8"/>
        <v>合格</v>
      </c>
      <c r="AQ40" s="25" t="str">
        <f t="shared" si="9"/>
        <v>合格</v>
      </c>
      <c r="AR40" s="25" t="str">
        <f t="shared" si="10"/>
        <v>合格</v>
      </c>
      <c r="AS40" s="25" t="str">
        <f t="shared" si="11"/>
        <v>合格</v>
      </c>
      <c r="AT40" s="25" t="str">
        <f t="shared" si="12"/>
        <v>生产可用</v>
      </c>
      <c r="AU40" s="25"/>
      <c r="AV40" s="29"/>
      <c r="AW40" s="30" t="s">
        <v>564</v>
      </c>
    </row>
    <row r="41" ht="68" spans="1:49">
      <c r="A41" s="25" t="s">
        <v>514</v>
      </c>
      <c r="B41" s="26" t="s">
        <v>183</v>
      </c>
      <c r="C41" s="26" t="s">
        <v>88</v>
      </c>
      <c r="D41" s="26" t="s">
        <v>473</v>
      </c>
      <c r="E41" s="27" t="s">
        <v>474</v>
      </c>
      <c r="F41" s="26" t="s">
        <v>471</v>
      </c>
      <c r="G41" s="26"/>
      <c r="H41" s="26"/>
      <c r="I41" s="26">
        <v>4</v>
      </c>
      <c r="J41" s="26">
        <v>4</v>
      </c>
      <c r="K41" s="26">
        <v>3</v>
      </c>
      <c r="L41" s="26">
        <v>3</v>
      </c>
      <c r="M41" s="26">
        <v>4</v>
      </c>
      <c r="N41" s="26">
        <v>4</v>
      </c>
      <c r="O41" s="26">
        <v>3</v>
      </c>
      <c r="P41" s="26">
        <v>4</v>
      </c>
      <c r="Q41" s="26">
        <v>3</v>
      </c>
      <c r="R41" s="26">
        <v>4</v>
      </c>
      <c r="S41" s="28">
        <f t="shared" si="0"/>
        <v>37.8</v>
      </c>
      <c r="T41" s="26">
        <v>4</v>
      </c>
      <c r="U41" s="26">
        <v>2</v>
      </c>
      <c r="V41" s="26">
        <v>4</v>
      </c>
      <c r="W41" s="26">
        <v>4</v>
      </c>
      <c r="X41" s="26">
        <v>4</v>
      </c>
      <c r="Y41" s="26">
        <v>4</v>
      </c>
      <c r="Z41" s="28">
        <f t="shared" si="1"/>
        <v>27</v>
      </c>
      <c r="AA41" s="26">
        <v>4</v>
      </c>
      <c r="AB41" s="26">
        <v>4</v>
      </c>
      <c r="AC41" s="26">
        <v>4</v>
      </c>
      <c r="AD41" s="28">
        <f t="shared" si="2"/>
        <v>10</v>
      </c>
      <c r="AE41" s="26">
        <v>4</v>
      </c>
      <c r="AF41" s="26">
        <v>4</v>
      </c>
      <c r="AG41" s="26">
        <v>3</v>
      </c>
      <c r="AH41" s="28">
        <f t="shared" si="3"/>
        <v>9.25</v>
      </c>
      <c r="AI41" s="26">
        <v>4</v>
      </c>
      <c r="AJ41" s="26">
        <v>4</v>
      </c>
      <c r="AK41" s="28">
        <f t="shared" si="4"/>
        <v>5</v>
      </c>
      <c r="AL41" s="28">
        <f t="shared" si="5"/>
        <v>89.05</v>
      </c>
      <c r="AM41" s="26"/>
      <c r="AN41" s="25" t="str">
        <f t="shared" si="6"/>
        <v>否</v>
      </c>
      <c r="AO41" s="25" t="str">
        <f t="shared" si="7"/>
        <v>合格</v>
      </c>
      <c r="AP41" s="25" t="str">
        <f t="shared" si="8"/>
        <v>合格</v>
      </c>
      <c r="AQ41" s="25" t="str">
        <f t="shared" si="9"/>
        <v>合格</v>
      </c>
      <c r="AR41" s="25" t="str">
        <f t="shared" si="10"/>
        <v>合格</v>
      </c>
      <c r="AS41" s="25" t="str">
        <f t="shared" si="11"/>
        <v>合格</v>
      </c>
      <c r="AT41" s="25" t="str">
        <f t="shared" si="12"/>
        <v>生产可用</v>
      </c>
      <c r="AU41" s="25"/>
      <c r="AV41" s="29"/>
      <c r="AW41" s="30" t="s">
        <v>565</v>
      </c>
    </row>
    <row r="42" ht="34" spans="1:49">
      <c r="A42" s="25" t="s">
        <v>515</v>
      </c>
      <c r="B42" s="26" t="s">
        <v>183</v>
      </c>
      <c r="C42" s="26" t="s">
        <v>88</v>
      </c>
      <c r="D42" s="26" t="s">
        <v>477</v>
      </c>
      <c r="E42" s="27">
        <v>2.5</v>
      </c>
      <c r="F42" s="26" t="s">
        <v>469</v>
      </c>
      <c r="G42" s="26"/>
      <c r="H42" s="26"/>
      <c r="I42" s="26">
        <v>5</v>
      </c>
      <c r="J42" s="26">
        <v>5</v>
      </c>
      <c r="K42" s="26">
        <v>5</v>
      </c>
      <c r="L42" s="26">
        <v>4</v>
      </c>
      <c r="M42" s="26">
        <v>4</v>
      </c>
      <c r="N42" s="26">
        <v>4</v>
      </c>
      <c r="O42" s="26">
        <v>4</v>
      </c>
      <c r="P42" s="26">
        <v>4</v>
      </c>
      <c r="Q42" s="26">
        <v>4</v>
      </c>
      <c r="R42" s="26">
        <v>4</v>
      </c>
      <c r="S42" s="28">
        <f t="shared" si="0"/>
        <v>45</v>
      </c>
      <c r="T42" s="26">
        <v>4</v>
      </c>
      <c r="U42" s="26">
        <v>3</v>
      </c>
      <c r="V42" s="26">
        <v>4</v>
      </c>
      <c r="W42" s="26">
        <v>4</v>
      </c>
      <c r="X42" s="26">
        <v>4</v>
      </c>
      <c r="Y42" s="26">
        <v>4</v>
      </c>
      <c r="Z42" s="28">
        <f t="shared" si="1"/>
        <v>28.5</v>
      </c>
      <c r="AA42" s="26">
        <v>2</v>
      </c>
      <c r="AB42" s="26">
        <v>3</v>
      </c>
      <c r="AC42" s="26">
        <v>4</v>
      </c>
      <c r="AD42" s="28">
        <f t="shared" si="2"/>
        <v>7.25</v>
      </c>
      <c r="AE42" s="26">
        <v>4</v>
      </c>
      <c r="AF42" s="26">
        <v>4</v>
      </c>
      <c r="AG42" s="26">
        <v>4</v>
      </c>
      <c r="AH42" s="28">
        <f t="shared" si="3"/>
        <v>10</v>
      </c>
      <c r="AI42" s="26">
        <v>4</v>
      </c>
      <c r="AJ42" s="26">
        <v>4</v>
      </c>
      <c r="AK42" s="28">
        <f t="shared" si="4"/>
        <v>5</v>
      </c>
      <c r="AL42" s="28">
        <f t="shared" si="5"/>
        <v>95.75</v>
      </c>
      <c r="AM42" s="26"/>
      <c r="AN42" s="25" t="str">
        <f t="shared" si="6"/>
        <v>否</v>
      </c>
      <c r="AO42" s="25" t="str">
        <f t="shared" si="7"/>
        <v>合格</v>
      </c>
      <c r="AP42" s="25" t="str">
        <f t="shared" si="8"/>
        <v>合格</v>
      </c>
      <c r="AQ42" s="25" t="str">
        <f t="shared" si="9"/>
        <v>合格</v>
      </c>
      <c r="AR42" s="25" t="str">
        <f t="shared" si="10"/>
        <v>合格</v>
      </c>
      <c r="AS42" s="25" t="str">
        <f t="shared" si="11"/>
        <v>合格</v>
      </c>
      <c r="AT42" s="25" t="str">
        <f t="shared" si="12"/>
        <v>生产可用</v>
      </c>
      <c r="AU42" s="25"/>
      <c r="AV42" s="29"/>
      <c r="AW42" s="30" t="s">
        <v>566</v>
      </c>
    </row>
    <row r="43" ht="51" spans="1:49">
      <c r="A43" s="25" t="s">
        <v>516</v>
      </c>
      <c r="B43" s="26" t="s">
        <v>183</v>
      </c>
      <c r="C43" s="26" t="s">
        <v>88</v>
      </c>
      <c r="D43" s="26" t="s">
        <v>477</v>
      </c>
      <c r="E43" s="27">
        <v>2.5</v>
      </c>
      <c r="F43" s="26" t="s">
        <v>471</v>
      </c>
      <c r="G43" s="26"/>
      <c r="H43" s="26"/>
      <c r="I43" s="26">
        <v>5</v>
      </c>
      <c r="J43" s="26">
        <v>5</v>
      </c>
      <c r="K43" s="26">
        <v>5</v>
      </c>
      <c r="L43" s="26">
        <v>4</v>
      </c>
      <c r="M43" s="26">
        <v>4</v>
      </c>
      <c r="N43" s="26">
        <v>4</v>
      </c>
      <c r="O43" s="26">
        <v>4</v>
      </c>
      <c r="P43" s="26">
        <v>4</v>
      </c>
      <c r="Q43" s="26">
        <v>4</v>
      </c>
      <c r="R43" s="26">
        <v>4</v>
      </c>
      <c r="S43" s="28">
        <f t="shared" si="0"/>
        <v>45</v>
      </c>
      <c r="T43" s="26">
        <v>4</v>
      </c>
      <c r="U43" s="26">
        <v>3</v>
      </c>
      <c r="V43" s="26">
        <v>4</v>
      </c>
      <c r="W43" s="26">
        <v>4</v>
      </c>
      <c r="X43" s="26">
        <v>4</v>
      </c>
      <c r="Y43" s="26">
        <v>4</v>
      </c>
      <c r="Z43" s="28">
        <f t="shared" si="1"/>
        <v>28.5</v>
      </c>
      <c r="AA43" s="26">
        <v>2</v>
      </c>
      <c r="AB43" s="26">
        <v>3</v>
      </c>
      <c r="AC43" s="26">
        <v>4</v>
      </c>
      <c r="AD43" s="28">
        <f t="shared" si="2"/>
        <v>7.25</v>
      </c>
      <c r="AE43" s="26">
        <v>4</v>
      </c>
      <c r="AF43" s="26">
        <v>4</v>
      </c>
      <c r="AG43" s="26">
        <v>4</v>
      </c>
      <c r="AH43" s="28">
        <f t="shared" si="3"/>
        <v>10</v>
      </c>
      <c r="AI43" s="26">
        <v>4</v>
      </c>
      <c r="AJ43" s="26">
        <v>4</v>
      </c>
      <c r="AK43" s="28">
        <f t="shared" si="4"/>
        <v>5</v>
      </c>
      <c r="AL43" s="28">
        <f t="shared" si="5"/>
        <v>95.75</v>
      </c>
      <c r="AM43" s="26"/>
      <c r="AN43" s="25" t="str">
        <f t="shared" si="6"/>
        <v>否</v>
      </c>
      <c r="AO43" s="25" t="str">
        <f t="shared" si="7"/>
        <v>合格</v>
      </c>
      <c r="AP43" s="25" t="str">
        <f t="shared" si="8"/>
        <v>合格</v>
      </c>
      <c r="AQ43" s="25" t="str">
        <f t="shared" si="9"/>
        <v>合格</v>
      </c>
      <c r="AR43" s="25" t="str">
        <f t="shared" si="10"/>
        <v>合格</v>
      </c>
      <c r="AS43" s="25" t="str">
        <f t="shared" si="11"/>
        <v>合格</v>
      </c>
      <c r="AT43" s="25" t="str">
        <f t="shared" si="12"/>
        <v>生产可用</v>
      </c>
      <c r="AU43" s="25"/>
      <c r="AV43" s="29"/>
      <c r="AW43" s="30" t="s">
        <v>566</v>
      </c>
    </row>
    <row r="44" ht="68" spans="1:49">
      <c r="A44" s="25" t="s">
        <v>517</v>
      </c>
      <c r="B44" s="26" t="s">
        <v>192</v>
      </c>
      <c r="C44" s="26" t="s">
        <v>95</v>
      </c>
      <c r="D44" s="26" t="s">
        <v>467</v>
      </c>
      <c r="E44" s="27" t="s">
        <v>468</v>
      </c>
      <c r="F44" s="26" t="s">
        <v>469</v>
      </c>
      <c r="G44" s="26"/>
      <c r="H44" s="26"/>
      <c r="I44" s="26">
        <v>4</v>
      </c>
      <c r="J44" s="26">
        <v>4</v>
      </c>
      <c r="K44" s="26">
        <v>4</v>
      </c>
      <c r="L44" s="26">
        <v>3</v>
      </c>
      <c r="M44" s="26">
        <v>4</v>
      </c>
      <c r="N44" s="26">
        <v>4</v>
      </c>
      <c r="O44" s="26">
        <v>3</v>
      </c>
      <c r="P44" s="26">
        <v>4</v>
      </c>
      <c r="Q44" s="26">
        <v>4</v>
      </c>
      <c r="R44" s="26">
        <v>3</v>
      </c>
      <c r="S44" s="28">
        <f t="shared" si="0"/>
        <v>39.1</v>
      </c>
      <c r="T44" s="26">
        <v>4</v>
      </c>
      <c r="U44" s="26">
        <v>3</v>
      </c>
      <c r="V44" s="26">
        <v>4</v>
      </c>
      <c r="W44" s="26">
        <v>3</v>
      </c>
      <c r="X44" s="26">
        <v>4</v>
      </c>
      <c r="Y44" s="26">
        <v>2</v>
      </c>
      <c r="Z44" s="28">
        <f t="shared" si="1"/>
        <v>26</v>
      </c>
      <c r="AA44" s="26">
        <v>4</v>
      </c>
      <c r="AB44" s="26">
        <v>4</v>
      </c>
      <c r="AC44" s="26">
        <v>4</v>
      </c>
      <c r="AD44" s="28">
        <f t="shared" si="2"/>
        <v>10</v>
      </c>
      <c r="AE44" s="26">
        <v>3</v>
      </c>
      <c r="AF44" s="26">
        <v>4</v>
      </c>
      <c r="AG44" s="26">
        <v>4</v>
      </c>
      <c r="AH44" s="28">
        <f t="shared" si="3"/>
        <v>9</v>
      </c>
      <c r="AI44" s="26">
        <v>4</v>
      </c>
      <c r="AJ44" s="26">
        <v>4</v>
      </c>
      <c r="AK44" s="28">
        <f t="shared" si="4"/>
        <v>5</v>
      </c>
      <c r="AL44" s="28">
        <f t="shared" si="5"/>
        <v>89.1</v>
      </c>
      <c r="AM44" s="26"/>
      <c r="AN44" s="25" t="str">
        <f t="shared" si="6"/>
        <v>否</v>
      </c>
      <c r="AO44" s="25" t="str">
        <f t="shared" si="7"/>
        <v>合格</v>
      </c>
      <c r="AP44" s="25" t="str">
        <f t="shared" si="8"/>
        <v>合格</v>
      </c>
      <c r="AQ44" s="25" t="str">
        <f t="shared" si="9"/>
        <v>合格</v>
      </c>
      <c r="AR44" s="25" t="str">
        <f t="shared" si="10"/>
        <v>合格</v>
      </c>
      <c r="AS44" s="25" t="str">
        <f t="shared" si="11"/>
        <v>合格</v>
      </c>
      <c r="AT44" s="25" t="str">
        <f t="shared" si="12"/>
        <v>生产可用</v>
      </c>
      <c r="AU44" s="25"/>
      <c r="AV44" s="29"/>
      <c r="AW44" s="30" t="s">
        <v>567</v>
      </c>
    </row>
    <row r="45" ht="51" spans="1:49">
      <c r="A45" s="25" t="s">
        <v>518</v>
      </c>
      <c r="B45" s="26" t="s">
        <v>192</v>
      </c>
      <c r="C45" s="26" t="s">
        <v>95</v>
      </c>
      <c r="D45" s="26" t="s">
        <v>467</v>
      </c>
      <c r="E45" s="27" t="s">
        <v>468</v>
      </c>
      <c r="F45" s="26" t="s">
        <v>471</v>
      </c>
      <c r="G45" s="26"/>
      <c r="H45" s="26"/>
      <c r="I45" s="26">
        <v>4</v>
      </c>
      <c r="J45" s="26">
        <v>4</v>
      </c>
      <c r="K45" s="26">
        <v>4</v>
      </c>
      <c r="L45" s="26">
        <v>3</v>
      </c>
      <c r="M45" s="26">
        <v>4</v>
      </c>
      <c r="N45" s="26">
        <v>4</v>
      </c>
      <c r="O45" s="26">
        <v>3</v>
      </c>
      <c r="P45" s="26">
        <v>4</v>
      </c>
      <c r="Q45" s="26">
        <v>4</v>
      </c>
      <c r="R45" s="26">
        <v>3</v>
      </c>
      <c r="S45" s="28">
        <f t="shared" si="0"/>
        <v>39.1</v>
      </c>
      <c r="T45" s="26">
        <v>4</v>
      </c>
      <c r="U45" s="26">
        <v>4</v>
      </c>
      <c r="V45" s="26">
        <v>4</v>
      </c>
      <c r="W45" s="26">
        <v>4</v>
      </c>
      <c r="X45" s="26">
        <v>4</v>
      </c>
      <c r="Y45" s="26">
        <v>3</v>
      </c>
      <c r="Z45" s="28">
        <f t="shared" si="1"/>
        <v>29.25</v>
      </c>
      <c r="AA45" s="26">
        <v>4</v>
      </c>
      <c r="AB45" s="26">
        <v>4</v>
      </c>
      <c r="AC45" s="26">
        <v>4</v>
      </c>
      <c r="AD45" s="28">
        <f t="shared" si="2"/>
        <v>10</v>
      </c>
      <c r="AE45" s="26">
        <v>4</v>
      </c>
      <c r="AF45" s="26">
        <v>4</v>
      </c>
      <c r="AG45" s="26">
        <v>4</v>
      </c>
      <c r="AH45" s="28">
        <f t="shared" si="3"/>
        <v>10</v>
      </c>
      <c r="AI45" s="26">
        <v>4</v>
      </c>
      <c r="AJ45" s="26">
        <v>4</v>
      </c>
      <c r="AK45" s="28">
        <f t="shared" si="4"/>
        <v>5</v>
      </c>
      <c r="AL45" s="28">
        <f t="shared" si="5"/>
        <v>93.35</v>
      </c>
      <c r="AM45" s="26"/>
      <c r="AN45" s="25" t="str">
        <f t="shared" si="6"/>
        <v>否</v>
      </c>
      <c r="AO45" s="25" t="str">
        <f t="shared" si="7"/>
        <v>合格</v>
      </c>
      <c r="AP45" s="25" t="str">
        <f t="shared" si="8"/>
        <v>合格</v>
      </c>
      <c r="AQ45" s="25" t="str">
        <f t="shared" si="9"/>
        <v>合格</v>
      </c>
      <c r="AR45" s="25" t="str">
        <f t="shared" si="10"/>
        <v>合格</v>
      </c>
      <c r="AS45" s="25" t="str">
        <f t="shared" si="11"/>
        <v>合格</v>
      </c>
      <c r="AT45" s="25" t="str">
        <f t="shared" si="12"/>
        <v>生产可用</v>
      </c>
      <c r="AU45" s="25"/>
      <c r="AV45" s="29"/>
      <c r="AW45" s="30" t="s">
        <v>568</v>
      </c>
    </row>
    <row r="46" ht="68" spans="1:49">
      <c r="A46" s="25" t="s">
        <v>519</v>
      </c>
      <c r="B46" s="26" t="s">
        <v>192</v>
      </c>
      <c r="C46" s="26" t="s">
        <v>95</v>
      </c>
      <c r="D46" s="26" t="s">
        <v>473</v>
      </c>
      <c r="E46" s="27" t="s">
        <v>474</v>
      </c>
      <c r="F46" s="26" t="s">
        <v>469</v>
      </c>
      <c r="G46" s="26"/>
      <c r="H46" s="26"/>
      <c r="I46" s="26">
        <v>5</v>
      </c>
      <c r="J46" s="26">
        <v>4</v>
      </c>
      <c r="K46" s="26">
        <v>4</v>
      </c>
      <c r="L46" s="26">
        <v>4</v>
      </c>
      <c r="M46" s="26">
        <v>4</v>
      </c>
      <c r="N46" s="26">
        <v>4</v>
      </c>
      <c r="O46" s="26">
        <v>3</v>
      </c>
      <c r="P46" s="26">
        <v>4</v>
      </c>
      <c r="Q46" s="26">
        <v>4</v>
      </c>
      <c r="R46" s="26">
        <v>4</v>
      </c>
      <c r="S46" s="28">
        <f t="shared" si="0"/>
        <v>42.4</v>
      </c>
      <c r="T46" s="26">
        <v>4</v>
      </c>
      <c r="U46" s="26">
        <v>4</v>
      </c>
      <c r="V46" s="26">
        <v>4</v>
      </c>
      <c r="W46" s="26">
        <v>4</v>
      </c>
      <c r="X46" s="26">
        <v>4</v>
      </c>
      <c r="Y46" s="26">
        <v>4</v>
      </c>
      <c r="Z46" s="28">
        <f t="shared" si="1"/>
        <v>30</v>
      </c>
      <c r="AA46" s="26">
        <v>4</v>
      </c>
      <c r="AB46" s="26">
        <v>4</v>
      </c>
      <c r="AC46" s="26">
        <v>4</v>
      </c>
      <c r="AD46" s="28">
        <f t="shared" si="2"/>
        <v>10</v>
      </c>
      <c r="AE46" s="26">
        <v>3</v>
      </c>
      <c r="AF46" s="26">
        <v>4</v>
      </c>
      <c r="AG46" s="26">
        <v>3</v>
      </c>
      <c r="AH46" s="28">
        <f t="shared" si="3"/>
        <v>8.25</v>
      </c>
      <c r="AI46" s="26">
        <v>4</v>
      </c>
      <c r="AJ46" s="26">
        <v>4</v>
      </c>
      <c r="AK46" s="28">
        <f t="shared" si="4"/>
        <v>5</v>
      </c>
      <c r="AL46" s="28">
        <f t="shared" si="5"/>
        <v>95.65</v>
      </c>
      <c r="AM46" s="26"/>
      <c r="AN46" s="25" t="str">
        <f t="shared" si="6"/>
        <v>否</v>
      </c>
      <c r="AO46" s="25" t="str">
        <f t="shared" si="7"/>
        <v>合格</v>
      </c>
      <c r="AP46" s="25" t="str">
        <f t="shared" si="8"/>
        <v>合格</v>
      </c>
      <c r="AQ46" s="25" t="str">
        <f t="shared" si="9"/>
        <v>合格</v>
      </c>
      <c r="AR46" s="25" t="str">
        <f t="shared" si="10"/>
        <v>合格</v>
      </c>
      <c r="AS46" s="25" t="str">
        <f t="shared" si="11"/>
        <v>合格</v>
      </c>
      <c r="AT46" s="25" t="str">
        <f t="shared" si="12"/>
        <v>生产可用</v>
      </c>
      <c r="AU46" s="25"/>
      <c r="AV46" s="29"/>
      <c r="AW46" s="30" t="s">
        <v>569</v>
      </c>
    </row>
    <row r="47" ht="51" spans="1:49">
      <c r="A47" s="25" t="s">
        <v>520</v>
      </c>
      <c r="B47" s="26" t="s">
        <v>192</v>
      </c>
      <c r="C47" s="26" t="s">
        <v>95</v>
      </c>
      <c r="D47" s="26" t="s">
        <v>473</v>
      </c>
      <c r="E47" s="27" t="s">
        <v>474</v>
      </c>
      <c r="F47" s="26" t="s">
        <v>471</v>
      </c>
      <c r="G47" s="26"/>
      <c r="H47" s="26"/>
      <c r="I47" s="26">
        <v>4</v>
      </c>
      <c r="J47" s="26">
        <v>4</v>
      </c>
      <c r="K47" s="26">
        <v>4</v>
      </c>
      <c r="L47" s="26">
        <v>4</v>
      </c>
      <c r="M47" s="26">
        <v>4</v>
      </c>
      <c r="N47" s="26">
        <v>4</v>
      </c>
      <c r="O47" s="26">
        <v>3</v>
      </c>
      <c r="P47" s="26">
        <v>4</v>
      </c>
      <c r="Q47" s="26">
        <v>4</v>
      </c>
      <c r="R47" s="26">
        <v>4</v>
      </c>
      <c r="S47" s="28">
        <f t="shared" si="0"/>
        <v>41.6</v>
      </c>
      <c r="T47" s="26">
        <v>4</v>
      </c>
      <c r="U47" s="26">
        <v>4</v>
      </c>
      <c r="V47" s="26">
        <v>4</v>
      </c>
      <c r="W47" s="26">
        <v>4</v>
      </c>
      <c r="X47" s="26">
        <v>4</v>
      </c>
      <c r="Y47" s="26">
        <v>4</v>
      </c>
      <c r="Z47" s="28">
        <f t="shared" si="1"/>
        <v>30</v>
      </c>
      <c r="AA47" s="26">
        <v>4</v>
      </c>
      <c r="AB47" s="26">
        <v>4</v>
      </c>
      <c r="AC47" s="26">
        <v>4</v>
      </c>
      <c r="AD47" s="28">
        <f t="shared" si="2"/>
        <v>10</v>
      </c>
      <c r="AE47" s="26">
        <v>4</v>
      </c>
      <c r="AF47" s="26">
        <v>4</v>
      </c>
      <c r="AG47" s="26">
        <v>3</v>
      </c>
      <c r="AH47" s="28">
        <f t="shared" si="3"/>
        <v>9.25</v>
      </c>
      <c r="AI47" s="26">
        <v>4</v>
      </c>
      <c r="AJ47" s="26">
        <v>4</v>
      </c>
      <c r="AK47" s="28">
        <f t="shared" si="4"/>
        <v>5</v>
      </c>
      <c r="AL47" s="28">
        <f t="shared" si="5"/>
        <v>95.85</v>
      </c>
      <c r="AM47" s="26"/>
      <c r="AN47" s="25" t="str">
        <f t="shared" si="6"/>
        <v>否</v>
      </c>
      <c r="AO47" s="25" t="str">
        <f t="shared" si="7"/>
        <v>合格</v>
      </c>
      <c r="AP47" s="25" t="str">
        <f t="shared" si="8"/>
        <v>合格</v>
      </c>
      <c r="AQ47" s="25" t="str">
        <f t="shared" si="9"/>
        <v>合格</v>
      </c>
      <c r="AR47" s="25" t="str">
        <f t="shared" si="10"/>
        <v>合格</v>
      </c>
      <c r="AS47" s="25" t="str">
        <f t="shared" si="11"/>
        <v>合格</v>
      </c>
      <c r="AT47" s="25" t="str">
        <f t="shared" si="12"/>
        <v>生产可用</v>
      </c>
      <c r="AU47" s="25"/>
      <c r="AV47" s="29"/>
      <c r="AW47" s="30" t="s">
        <v>570</v>
      </c>
    </row>
    <row r="48" ht="51" spans="1:49">
      <c r="A48" s="25" t="s">
        <v>521</v>
      </c>
      <c r="B48" s="26" t="s">
        <v>192</v>
      </c>
      <c r="C48" s="26" t="s">
        <v>95</v>
      </c>
      <c r="D48" s="26" t="s">
        <v>477</v>
      </c>
      <c r="E48" s="27">
        <v>2.5</v>
      </c>
      <c r="F48" s="26" t="s">
        <v>469</v>
      </c>
      <c r="G48" s="26"/>
      <c r="H48" s="26"/>
      <c r="I48" s="26">
        <v>5</v>
      </c>
      <c r="J48" s="26">
        <v>5</v>
      </c>
      <c r="K48" s="26">
        <v>5</v>
      </c>
      <c r="L48" s="26">
        <v>4</v>
      </c>
      <c r="M48" s="26">
        <v>4</v>
      </c>
      <c r="N48" s="26">
        <v>4</v>
      </c>
      <c r="O48" s="26">
        <v>4</v>
      </c>
      <c r="P48" s="26">
        <v>4</v>
      </c>
      <c r="Q48" s="26">
        <v>4</v>
      </c>
      <c r="R48" s="26">
        <v>4</v>
      </c>
      <c r="S48" s="28">
        <f t="shared" si="0"/>
        <v>45</v>
      </c>
      <c r="T48" s="26">
        <v>4</v>
      </c>
      <c r="U48" s="26">
        <v>4</v>
      </c>
      <c r="V48" s="26">
        <v>4</v>
      </c>
      <c r="W48" s="26">
        <v>4</v>
      </c>
      <c r="X48" s="26">
        <v>4</v>
      </c>
      <c r="Y48" s="26">
        <v>4</v>
      </c>
      <c r="Z48" s="28">
        <f t="shared" si="1"/>
        <v>30</v>
      </c>
      <c r="AA48" s="26">
        <v>2</v>
      </c>
      <c r="AB48" s="26">
        <v>3</v>
      </c>
      <c r="AC48" s="26">
        <v>4</v>
      </c>
      <c r="AD48" s="28">
        <f t="shared" si="2"/>
        <v>7.25</v>
      </c>
      <c r="AE48" s="26">
        <v>4</v>
      </c>
      <c r="AF48" s="26">
        <v>4</v>
      </c>
      <c r="AG48" s="26">
        <v>4</v>
      </c>
      <c r="AH48" s="28">
        <f t="shared" si="3"/>
        <v>10</v>
      </c>
      <c r="AI48" s="26">
        <v>4</v>
      </c>
      <c r="AJ48" s="26">
        <v>4</v>
      </c>
      <c r="AK48" s="28">
        <f t="shared" si="4"/>
        <v>5</v>
      </c>
      <c r="AL48" s="28">
        <f t="shared" si="5"/>
        <v>97.25</v>
      </c>
      <c r="AM48" s="26"/>
      <c r="AN48" s="25" t="str">
        <f t="shared" si="6"/>
        <v>否</v>
      </c>
      <c r="AO48" s="25" t="str">
        <f t="shared" si="7"/>
        <v>合格</v>
      </c>
      <c r="AP48" s="25" t="str">
        <f t="shared" si="8"/>
        <v>合格</v>
      </c>
      <c r="AQ48" s="25" t="str">
        <f t="shared" si="9"/>
        <v>合格</v>
      </c>
      <c r="AR48" s="25" t="str">
        <f t="shared" si="10"/>
        <v>合格</v>
      </c>
      <c r="AS48" s="25" t="str">
        <f t="shared" si="11"/>
        <v>合格</v>
      </c>
      <c r="AT48" s="25" t="str">
        <f t="shared" si="12"/>
        <v>生产可用</v>
      </c>
      <c r="AU48" s="25"/>
      <c r="AV48" s="29"/>
      <c r="AW48" s="30" t="s">
        <v>571</v>
      </c>
    </row>
    <row r="49" ht="51" spans="1:49">
      <c r="A49" s="25" t="s">
        <v>522</v>
      </c>
      <c r="B49" s="26" t="s">
        <v>192</v>
      </c>
      <c r="C49" s="26" t="s">
        <v>95</v>
      </c>
      <c r="D49" s="26" t="s">
        <v>477</v>
      </c>
      <c r="E49" s="27">
        <v>2.5</v>
      </c>
      <c r="F49" s="26" t="s">
        <v>471</v>
      </c>
      <c r="G49" s="26"/>
      <c r="H49" s="26"/>
      <c r="I49" s="26">
        <v>5</v>
      </c>
      <c r="J49" s="26">
        <v>5</v>
      </c>
      <c r="K49" s="26">
        <v>5</v>
      </c>
      <c r="L49" s="26">
        <v>4</v>
      </c>
      <c r="M49" s="26">
        <v>4</v>
      </c>
      <c r="N49" s="26">
        <v>4</v>
      </c>
      <c r="O49" s="26">
        <v>4</v>
      </c>
      <c r="P49" s="26">
        <v>4</v>
      </c>
      <c r="Q49" s="26">
        <v>4</v>
      </c>
      <c r="R49" s="26">
        <v>3</v>
      </c>
      <c r="S49" s="28">
        <f t="shared" si="0"/>
        <v>44.5</v>
      </c>
      <c r="T49" s="26">
        <v>4</v>
      </c>
      <c r="U49" s="26">
        <v>4</v>
      </c>
      <c r="V49" s="26">
        <v>4</v>
      </c>
      <c r="W49" s="26">
        <v>4</v>
      </c>
      <c r="X49" s="26">
        <v>4</v>
      </c>
      <c r="Y49" s="26">
        <v>4</v>
      </c>
      <c r="Z49" s="28">
        <f t="shared" si="1"/>
        <v>30</v>
      </c>
      <c r="AA49" s="26">
        <v>2</v>
      </c>
      <c r="AB49" s="26">
        <v>3</v>
      </c>
      <c r="AC49" s="26">
        <v>4</v>
      </c>
      <c r="AD49" s="28">
        <f t="shared" si="2"/>
        <v>7.25</v>
      </c>
      <c r="AE49" s="26">
        <v>4</v>
      </c>
      <c r="AF49" s="26">
        <v>4</v>
      </c>
      <c r="AG49" s="26">
        <v>4</v>
      </c>
      <c r="AH49" s="28">
        <f t="shared" si="3"/>
        <v>10</v>
      </c>
      <c r="AI49" s="26">
        <v>4</v>
      </c>
      <c r="AJ49" s="26">
        <v>4</v>
      </c>
      <c r="AK49" s="28">
        <f t="shared" si="4"/>
        <v>5</v>
      </c>
      <c r="AL49" s="28">
        <f t="shared" si="5"/>
        <v>96.75</v>
      </c>
      <c r="AM49" s="26"/>
      <c r="AN49" s="25" t="str">
        <f t="shared" si="6"/>
        <v>否</v>
      </c>
      <c r="AO49" s="25" t="str">
        <f t="shared" si="7"/>
        <v>合格</v>
      </c>
      <c r="AP49" s="25" t="str">
        <f t="shared" si="8"/>
        <v>合格</v>
      </c>
      <c r="AQ49" s="25" t="str">
        <f t="shared" si="9"/>
        <v>合格</v>
      </c>
      <c r="AR49" s="25" t="str">
        <f t="shared" si="10"/>
        <v>合格</v>
      </c>
      <c r="AS49" s="25" t="str">
        <f t="shared" si="11"/>
        <v>合格</v>
      </c>
      <c r="AT49" s="25" t="str">
        <f t="shared" si="12"/>
        <v>生产可用</v>
      </c>
      <c r="AU49" s="25"/>
      <c r="AV49" s="29"/>
      <c r="AW49" s="30" t="s">
        <v>572</v>
      </c>
    </row>
    <row r="50" ht="84" spans="1:49">
      <c r="A50" s="25" t="s">
        <v>523</v>
      </c>
      <c r="B50" s="26" t="s">
        <v>201</v>
      </c>
      <c r="C50" s="26" t="s">
        <v>102</v>
      </c>
      <c r="D50" s="26" t="s">
        <v>467</v>
      </c>
      <c r="E50" s="27" t="s">
        <v>468</v>
      </c>
      <c r="F50" s="26" t="s">
        <v>469</v>
      </c>
      <c r="G50" s="26"/>
      <c r="H50" s="26"/>
      <c r="I50" s="26">
        <v>4</v>
      </c>
      <c r="J50" s="26">
        <v>4</v>
      </c>
      <c r="K50" s="26">
        <v>4</v>
      </c>
      <c r="L50" s="26">
        <v>3</v>
      </c>
      <c r="M50" s="26">
        <v>4</v>
      </c>
      <c r="N50" s="26">
        <v>4</v>
      </c>
      <c r="O50" s="26">
        <v>4</v>
      </c>
      <c r="P50" s="26">
        <v>4</v>
      </c>
      <c r="Q50" s="26">
        <v>3</v>
      </c>
      <c r="R50" s="26">
        <v>4</v>
      </c>
      <c r="S50" s="28">
        <f t="shared" si="0"/>
        <v>39.6</v>
      </c>
      <c r="T50" s="26">
        <v>3</v>
      </c>
      <c r="U50" s="26">
        <v>4</v>
      </c>
      <c r="V50" s="26">
        <v>4</v>
      </c>
      <c r="W50" s="26">
        <v>4</v>
      </c>
      <c r="X50" s="26">
        <v>4</v>
      </c>
      <c r="Y50" s="26">
        <v>4</v>
      </c>
      <c r="Z50" s="28">
        <f t="shared" si="1"/>
        <v>28.25</v>
      </c>
      <c r="AA50" s="26">
        <v>4</v>
      </c>
      <c r="AB50" s="26">
        <v>4</v>
      </c>
      <c r="AC50" s="26">
        <v>4</v>
      </c>
      <c r="AD50" s="28">
        <f t="shared" si="2"/>
        <v>10</v>
      </c>
      <c r="AE50" s="26">
        <v>4</v>
      </c>
      <c r="AF50" s="26">
        <v>4</v>
      </c>
      <c r="AG50" s="26">
        <v>4</v>
      </c>
      <c r="AH50" s="28">
        <f t="shared" si="3"/>
        <v>10</v>
      </c>
      <c r="AI50" s="26">
        <v>4</v>
      </c>
      <c r="AJ50" s="26">
        <v>4</v>
      </c>
      <c r="AK50" s="28">
        <f t="shared" si="4"/>
        <v>5</v>
      </c>
      <c r="AL50" s="28">
        <f t="shared" si="5"/>
        <v>92.85</v>
      </c>
      <c r="AM50" s="26"/>
      <c r="AN50" s="25" t="str">
        <f t="shared" si="6"/>
        <v>否</v>
      </c>
      <c r="AO50" s="25" t="str">
        <f t="shared" si="7"/>
        <v>合格</v>
      </c>
      <c r="AP50" s="25" t="str">
        <f t="shared" si="8"/>
        <v>合格</v>
      </c>
      <c r="AQ50" s="25" t="str">
        <f t="shared" si="9"/>
        <v>合格</v>
      </c>
      <c r="AR50" s="25" t="str">
        <f t="shared" si="10"/>
        <v>合格</v>
      </c>
      <c r="AS50" s="25" t="str">
        <f t="shared" si="11"/>
        <v>合格</v>
      </c>
      <c r="AT50" s="25" t="str">
        <f t="shared" si="12"/>
        <v>生产可用</v>
      </c>
      <c r="AU50" s="25"/>
      <c r="AV50" s="29"/>
      <c r="AW50" s="30" t="s">
        <v>573</v>
      </c>
    </row>
    <row r="51" ht="34" spans="1:49">
      <c r="A51" s="25" t="s">
        <v>524</v>
      </c>
      <c r="B51" s="26" t="s">
        <v>201</v>
      </c>
      <c r="C51" s="26" t="s">
        <v>102</v>
      </c>
      <c r="D51" s="26" t="s">
        <v>467</v>
      </c>
      <c r="E51" s="27" t="s">
        <v>468</v>
      </c>
      <c r="F51" s="26" t="s">
        <v>471</v>
      </c>
      <c r="G51" s="26"/>
      <c r="H51" s="26"/>
      <c r="I51" s="26">
        <v>4</v>
      </c>
      <c r="J51" s="26">
        <v>4</v>
      </c>
      <c r="K51" s="26">
        <v>4</v>
      </c>
      <c r="L51" s="26">
        <v>3</v>
      </c>
      <c r="M51" s="26">
        <v>4</v>
      </c>
      <c r="N51" s="26">
        <v>4</v>
      </c>
      <c r="O51" s="26">
        <v>4</v>
      </c>
      <c r="P51" s="26">
        <v>4</v>
      </c>
      <c r="Q51" s="26">
        <v>3</v>
      </c>
      <c r="R51" s="26">
        <v>4</v>
      </c>
      <c r="S51" s="28">
        <f t="shared" si="0"/>
        <v>39.6</v>
      </c>
      <c r="T51" s="26">
        <v>4</v>
      </c>
      <c r="U51" s="26">
        <v>4</v>
      </c>
      <c r="V51" s="26">
        <v>4</v>
      </c>
      <c r="W51" s="26">
        <v>4</v>
      </c>
      <c r="X51" s="26">
        <v>4</v>
      </c>
      <c r="Y51" s="26">
        <v>4</v>
      </c>
      <c r="Z51" s="28">
        <f t="shared" si="1"/>
        <v>30</v>
      </c>
      <c r="AA51" s="26">
        <v>4</v>
      </c>
      <c r="AB51" s="26">
        <v>4</v>
      </c>
      <c r="AC51" s="26">
        <v>4</v>
      </c>
      <c r="AD51" s="28">
        <f t="shared" si="2"/>
        <v>10</v>
      </c>
      <c r="AE51" s="26">
        <v>4</v>
      </c>
      <c r="AF51" s="26">
        <v>4</v>
      </c>
      <c r="AG51" s="26">
        <v>4</v>
      </c>
      <c r="AH51" s="28">
        <f t="shared" si="3"/>
        <v>10</v>
      </c>
      <c r="AI51" s="26">
        <v>4</v>
      </c>
      <c r="AJ51" s="26">
        <v>3</v>
      </c>
      <c r="AK51" s="28">
        <f t="shared" si="4"/>
        <v>4.5</v>
      </c>
      <c r="AL51" s="28">
        <f t="shared" si="5"/>
        <v>94.1</v>
      </c>
      <c r="AM51" s="26"/>
      <c r="AN51" s="25" t="str">
        <f t="shared" si="6"/>
        <v>否</v>
      </c>
      <c r="AO51" s="25" t="str">
        <f t="shared" si="7"/>
        <v>合格</v>
      </c>
      <c r="AP51" s="25" t="str">
        <f t="shared" si="8"/>
        <v>合格</v>
      </c>
      <c r="AQ51" s="25" t="str">
        <f t="shared" si="9"/>
        <v>合格</v>
      </c>
      <c r="AR51" s="25" t="str">
        <f t="shared" si="10"/>
        <v>合格</v>
      </c>
      <c r="AS51" s="25" t="str">
        <f t="shared" si="11"/>
        <v>合格</v>
      </c>
      <c r="AT51" s="25" t="str">
        <f t="shared" si="12"/>
        <v>生产可用</v>
      </c>
      <c r="AU51" s="25"/>
      <c r="AV51" s="29"/>
      <c r="AW51" s="30" t="s">
        <v>574</v>
      </c>
    </row>
    <row r="52" ht="68" spans="1:49">
      <c r="A52" s="25" t="s">
        <v>525</v>
      </c>
      <c r="B52" s="26" t="s">
        <v>201</v>
      </c>
      <c r="C52" s="26" t="s">
        <v>102</v>
      </c>
      <c r="D52" s="26" t="s">
        <v>473</v>
      </c>
      <c r="E52" s="27" t="s">
        <v>474</v>
      </c>
      <c r="F52" s="26" t="s">
        <v>469</v>
      </c>
      <c r="G52" s="26"/>
      <c r="H52" s="26"/>
      <c r="I52" s="26">
        <v>3</v>
      </c>
      <c r="J52" s="26">
        <v>4</v>
      </c>
      <c r="K52" s="26">
        <v>4</v>
      </c>
      <c r="L52" s="26">
        <v>3</v>
      </c>
      <c r="M52" s="26">
        <v>4</v>
      </c>
      <c r="N52" s="26">
        <v>4</v>
      </c>
      <c r="O52" s="26">
        <v>4</v>
      </c>
      <c r="P52" s="26">
        <v>4</v>
      </c>
      <c r="Q52" s="26">
        <v>3</v>
      </c>
      <c r="R52" s="26">
        <v>4</v>
      </c>
      <c r="S52" s="28">
        <f t="shared" si="0"/>
        <v>38.8</v>
      </c>
      <c r="T52" s="26">
        <v>4</v>
      </c>
      <c r="U52" s="26">
        <v>4</v>
      </c>
      <c r="V52" s="26">
        <v>4</v>
      </c>
      <c r="W52" s="26">
        <v>4</v>
      </c>
      <c r="X52" s="26">
        <v>4</v>
      </c>
      <c r="Y52" s="26">
        <v>4</v>
      </c>
      <c r="Z52" s="28">
        <f t="shared" si="1"/>
        <v>30</v>
      </c>
      <c r="AA52" s="26">
        <v>4</v>
      </c>
      <c r="AB52" s="26">
        <v>4</v>
      </c>
      <c r="AC52" s="26">
        <v>4</v>
      </c>
      <c r="AD52" s="28">
        <f t="shared" si="2"/>
        <v>10</v>
      </c>
      <c r="AE52" s="26">
        <v>4</v>
      </c>
      <c r="AF52" s="26">
        <v>4</v>
      </c>
      <c r="AG52" s="26">
        <v>2</v>
      </c>
      <c r="AH52" s="28">
        <f t="shared" si="3"/>
        <v>8.5</v>
      </c>
      <c r="AI52" s="26">
        <v>4</v>
      </c>
      <c r="AJ52" s="26">
        <v>3</v>
      </c>
      <c r="AK52" s="28">
        <f t="shared" si="4"/>
        <v>4.5</v>
      </c>
      <c r="AL52" s="28">
        <f t="shared" si="5"/>
        <v>91.8</v>
      </c>
      <c r="AM52" s="26"/>
      <c r="AN52" s="25" t="str">
        <f t="shared" si="6"/>
        <v>否</v>
      </c>
      <c r="AO52" s="25" t="str">
        <f t="shared" si="7"/>
        <v>合格</v>
      </c>
      <c r="AP52" s="25" t="str">
        <f t="shared" si="8"/>
        <v>合格</v>
      </c>
      <c r="AQ52" s="25" t="str">
        <f t="shared" si="9"/>
        <v>合格</v>
      </c>
      <c r="AR52" s="25" t="str">
        <f t="shared" si="10"/>
        <v>合格</v>
      </c>
      <c r="AS52" s="25" t="str">
        <f t="shared" si="11"/>
        <v>合格</v>
      </c>
      <c r="AT52" s="25" t="str">
        <f t="shared" si="12"/>
        <v>生产可用</v>
      </c>
      <c r="AU52" s="25"/>
      <c r="AV52" s="29"/>
      <c r="AW52" s="30" t="s">
        <v>575</v>
      </c>
    </row>
    <row r="53" ht="68" spans="1:49">
      <c r="A53" s="25" t="s">
        <v>526</v>
      </c>
      <c r="B53" s="26" t="s">
        <v>201</v>
      </c>
      <c r="C53" s="26" t="s">
        <v>102</v>
      </c>
      <c r="D53" s="26" t="s">
        <v>473</v>
      </c>
      <c r="E53" s="27" t="s">
        <v>474</v>
      </c>
      <c r="F53" s="26" t="s">
        <v>471</v>
      </c>
      <c r="G53" s="26"/>
      <c r="H53" s="26"/>
      <c r="I53" s="26">
        <v>3</v>
      </c>
      <c r="J53" s="26">
        <v>4</v>
      </c>
      <c r="K53" s="26">
        <v>4</v>
      </c>
      <c r="L53" s="26">
        <v>3</v>
      </c>
      <c r="M53" s="26">
        <v>4</v>
      </c>
      <c r="N53" s="26">
        <v>4</v>
      </c>
      <c r="O53" s="26">
        <v>4</v>
      </c>
      <c r="P53" s="26">
        <v>4</v>
      </c>
      <c r="Q53" s="26">
        <v>3</v>
      </c>
      <c r="R53" s="26">
        <v>4</v>
      </c>
      <c r="S53" s="28">
        <f t="shared" si="0"/>
        <v>38.8</v>
      </c>
      <c r="T53" s="26">
        <v>4</v>
      </c>
      <c r="U53" s="26">
        <v>4</v>
      </c>
      <c r="V53" s="26">
        <v>4</v>
      </c>
      <c r="W53" s="26">
        <v>4</v>
      </c>
      <c r="X53" s="26">
        <v>4</v>
      </c>
      <c r="Y53" s="26">
        <v>4</v>
      </c>
      <c r="Z53" s="28">
        <f t="shared" si="1"/>
        <v>30</v>
      </c>
      <c r="AA53" s="26">
        <v>4</v>
      </c>
      <c r="AB53" s="26">
        <v>4</v>
      </c>
      <c r="AC53" s="26">
        <v>4</v>
      </c>
      <c r="AD53" s="28">
        <f t="shared" si="2"/>
        <v>10</v>
      </c>
      <c r="AE53" s="26">
        <v>4</v>
      </c>
      <c r="AF53" s="26">
        <v>4</v>
      </c>
      <c r="AG53" s="26">
        <v>2</v>
      </c>
      <c r="AH53" s="28">
        <f t="shared" si="3"/>
        <v>8.5</v>
      </c>
      <c r="AI53" s="26">
        <v>4</v>
      </c>
      <c r="AJ53" s="26">
        <v>3</v>
      </c>
      <c r="AK53" s="28">
        <f t="shared" si="4"/>
        <v>4.5</v>
      </c>
      <c r="AL53" s="28">
        <f t="shared" si="5"/>
        <v>91.8</v>
      </c>
      <c r="AM53" s="26"/>
      <c r="AN53" s="25" t="str">
        <f t="shared" si="6"/>
        <v>否</v>
      </c>
      <c r="AO53" s="25" t="str">
        <f t="shared" si="7"/>
        <v>合格</v>
      </c>
      <c r="AP53" s="25" t="str">
        <f t="shared" si="8"/>
        <v>合格</v>
      </c>
      <c r="AQ53" s="25" t="str">
        <f t="shared" si="9"/>
        <v>合格</v>
      </c>
      <c r="AR53" s="25" t="str">
        <f t="shared" si="10"/>
        <v>合格</v>
      </c>
      <c r="AS53" s="25" t="str">
        <f t="shared" si="11"/>
        <v>合格</v>
      </c>
      <c r="AT53" s="25" t="str">
        <f t="shared" si="12"/>
        <v>生产可用</v>
      </c>
      <c r="AU53" s="25"/>
      <c r="AV53" s="29"/>
      <c r="AW53" s="30" t="s">
        <v>575</v>
      </c>
    </row>
    <row r="54" ht="84" spans="1:49">
      <c r="A54" s="25" t="s">
        <v>527</v>
      </c>
      <c r="B54" s="26" t="s">
        <v>201</v>
      </c>
      <c r="C54" s="26" t="s">
        <v>102</v>
      </c>
      <c r="D54" s="26" t="s">
        <v>477</v>
      </c>
      <c r="E54" s="27">
        <v>2.5</v>
      </c>
      <c r="F54" s="26" t="s">
        <v>469</v>
      </c>
      <c r="G54" s="26"/>
      <c r="H54" s="26"/>
      <c r="I54" s="26">
        <v>5</v>
      </c>
      <c r="J54" s="26">
        <v>5</v>
      </c>
      <c r="K54" s="26">
        <v>5</v>
      </c>
      <c r="L54" s="26">
        <v>4</v>
      </c>
      <c r="M54" s="26">
        <v>4</v>
      </c>
      <c r="N54" s="26">
        <v>4</v>
      </c>
      <c r="O54" s="26">
        <v>4</v>
      </c>
      <c r="P54" s="26">
        <v>4</v>
      </c>
      <c r="Q54" s="26">
        <v>4</v>
      </c>
      <c r="R54" s="26">
        <v>4</v>
      </c>
      <c r="S54" s="28">
        <f t="shared" si="0"/>
        <v>45</v>
      </c>
      <c r="T54" s="26">
        <v>3</v>
      </c>
      <c r="U54" s="26">
        <v>4</v>
      </c>
      <c r="V54" s="26">
        <v>4</v>
      </c>
      <c r="W54" s="26">
        <v>4</v>
      </c>
      <c r="X54" s="26">
        <v>4</v>
      </c>
      <c r="Y54" s="26">
        <v>3</v>
      </c>
      <c r="Z54" s="28">
        <f t="shared" si="1"/>
        <v>27.5</v>
      </c>
      <c r="AA54" s="26">
        <v>2</v>
      </c>
      <c r="AB54" s="26">
        <v>3</v>
      </c>
      <c r="AC54" s="26">
        <v>4</v>
      </c>
      <c r="AD54" s="28">
        <f t="shared" si="2"/>
        <v>7.25</v>
      </c>
      <c r="AE54" s="26">
        <v>4</v>
      </c>
      <c r="AF54" s="26">
        <v>4</v>
      </c>
      <c r="AG54" s="26">
        <v>4</v>
      </c>
      <c r="AH54" s="28">
        <f t="shared" si="3"/>
        <v>10</v>
      </c>
      <c r="AI54" s="26">
        <v>4</v>
      </c>
      <c r="AJ54" s="26">
        <v>3</v>
      </c>
      <c r="AK54" s="28">
        <f t="shared" si="4"/>
        <v>4.5</v>
      </c>
      <c r="AL54" s="28">
        <f t="shared" si="5"/>
        <v>94.25</v>
      </c>
      <c r="AM54" s="26"/>
      <c r="AN54" s="25" t="str">
        <f t="shared" si="6"/>
        <v>否</v>
      </c>
      <c r="AO54" s="25" t="str">
        <f t="shared" si="7"/>
        <v>合格</v>
      </c>
      <c r="AP54" s="25" t="str">
        <f t="shared" si="8"/>
        <v>合格</v>
      </c>
      <c r="AQ54" s="25" t="str">
        <f t="shared" si="9"/>
        <v>合格</v>
      </c>
      <c r="AR54" s="25" t="str">
        <f t="shared" si="10"/>
        <v>合格</v>
      </c>
      <c r="AS54" s="25" t="str">
        <f t="shared" si="11"/>
        <v>合格</v>
      </c>
      <c r="AT54" s="25" t="str">
        <f t="shared" si="12"/>
        <v>生产可用</v>
      </c>
      <c r="AU54" s="25"/>
      <c r="AV54" s="29"/>
      <c r="AW54" s="30" t="s">
        <v>576</v>
      </c>
    </row>
    <row r="55" ht="68" spans="1:49">
      <c r="A55" s="25" t="s">
        <v>528</v>
      </c>
      <c r="B55" s="26" t="s">
        <v>201</v>
      </c>
      <c r="C55" s="26" t="s">
        <v>102</v>
      </c>
      <c r="D55" s="26" t="s">
        <v>477</v>
      </c>
      <c r="E55" s="27">
        <v>2.5</v>
      </c>
      <c r="F55" s="26" t="s">
        <v>471</v>
      </c>
      <c r="G55" s="26"/>
      <c r="H55" s="26"/>
      <c r="I55" s="26">
        <v>5</v>
      </c>
      <c r="J55" s="26">
        <v>5</v>
      </c>
      <c r="K55" s="26">
        <v>5</v>
      </c>
      <c r="L55" s="26">
        <v>4</v>
      </c>
      <c r="M55" s="26">
        <v>4</v>
      </c>
      <c r="N55" s="26">
        <v>4</v>
      </c>
      <c r="O55" s="26">
        <v>4</v>
      </c>
      <c r="P55" s="26">
        <v>4</v>
      </c>
      <c r="Q55" s="26">
        <v>4</v>
      </c>
      <c r="R55" s="26">
        <v>4</v>
      </c>
      <c r="S55" s="28">
        <f t="shared" si="0"/>
        <v>45</v>
      </c>
      <c r="T55" s="26">
        <v>3</v>
      </c>
      <c r="U55" s="26">
        <v>4</v>
      </c>
      <c r="V55" s="26">
        <v>4</v>
      </c>
      <c r="W55" s="26">
        <v>4</v>
      </c>
      <c r="X55" s="26">
        <v>4</v>
      </c>
      <c r="Y55" s="26">
        <v>3</v>
      </c>
      <c r="Z55" s="28">
        <f t="shared" si="1"/>
        <v>27.5</v>
      </c>
      <c r="AA55" s="26">
        <v>2</v>
      </c>
      <c r="AB55" s="26">
        <v>3</v>
      </c>
      <c r="AC55" s="26">
        <v>4</v>
      </c>
      <c r="AD55" s="28">
        <f t="shared" si="2"/>
        <v>7.25</v>
      </c>
      <c r="AE55" s="26">
        <v>4</v>
      </c>
      <c r="AF55" s="26">
        <v>4</v>
      </c>
      <c r="AG55" s="26">
        <v>4</v>
      </c>
      <c r="AH55" s="28">
        <f t="shared" si="3"/>
        <v>10</v>
      </c>
      <c r="AI55" s="26">
        <v>4</v>
      </c>
      <c r="AJ55" s="26">
        <v>4</v>
      </c>
      <c r="AK55" s="28">
        <f t="shared" si="4"/>
        <v>5</v>
      </c>
      <c r="AL55" s="28">
        <f t="shared" si="5"/>
        <v>94.75</v>
      </c>
      <c r="AM55" s="26"/>
      <c r="AN55" s="25" t="str">
        <f t="shared" si="6"/>
        <v>否</v>
      </c>
      <c r="AO55" s="25" t="str">
        <f t="shared" si="7"/>
        <v>合格</v>
      </c>
      <c r="AP55" s="25" t="str">
        <f t="shared" si="8"/>
        <v>合格</v>
      </c>
      <c r="AQ55" s="25" t="str">
        <f t="shared" si="9"/>
        <v>合格</v>
      </c>
      <c r="AR55" s="25" t="str">
        <f t="shared" si="10"/>
        <v>合格</v>
      </c>
      <c r="AS55" s="25" t="str">
        <f t="shared" si="11"/>
        <v>合格</v>
      </c>
      <c r="AT55" s="25" t="str">
        <f t="shared" si="12"/>
        <v>生产可用</v>
      </c>
      <c r="AU55" s="25"/>
      <c r="AV55" s="29"/>
      <c r="AW55" s="30" t="s">
        <v>577</v>
      </c>
    </row>
    <row r="56" ht="68" spans="1:49">
      <c r="A56" s="25" t="s">
        <v>529</v>
      </c>
      <c r="B56" s="26" t="s">
        <v>210</v>
      </c>
      <c r="C56" s="26" t="s">
        <v>109</v>
      </c>
      <c r="D56" s="26" t="s">
        <v>467</v>
      </c>
      <c r="E56" s="27" t="s">
        <v>468</v>
      </c>
      <c r="F56" s="26" t="s">
        <v>469</v>
      </c>
      <c r="G56" s="26"/>
      <c r="H56" s="26"/>
      <c r="I56" s="26">
        <v>5</v>
      </c>
      <c r="J56" s="26">
        <v>4</v>
      </c>
      <c r="K56" s="26">
        <v>3</v>
      </c>
      <c r="L56" s="26">
        <v>3</v>
      </c>
      <c r="M56" s="26">
        <v>4</v>
      </c>
      <c r="N56" s="26">
        <v>4</v>
      </c>
      <c r="O56" s="26">
        <v>3</v>
      </c>
      <c r="P56" s="26">
        <v>3</v>
      </c>
      <c r="Q56" s="26">
        <v>4</v>
      </c>
      <c r="R56" s="26">
        <v>4</v>
      </c>
      <c r="S56" s="28">
        <f t="shared" si="0"/>
        <v>38.6</v>
      </c>
      <c r="T56" s="26">
        <v>4</v>
      </c>
      <c r="U56" s="26">
        <v>4</v>
      </c>
      <c r="V56" s="26">
        <v>4</v>
      </c>
      <c r="W56" s="26">
        <v>4</v>
      </c>
      <c r="X56" s="26">
        <v>4</v>
      </c>
      <c r="Y56" s="26">
        <v>4</v>
      </c>
      <c r="Z56" s="28">
        <f t="shared" si="1"/>
        <v>30</v>
      </c>
      <c r="AA56" s="26">
        <v>4</v>
      </c>
      <c r="AB56" s="26">
        <v>4</v>
      </c>
      <c r="AC56" s="26">
        <v>4</v>
      </c>
      <c r="AD56" s="28">
        <f t="shared" si="2"/>
        <v>10</v>
      </c>
      <c r="AE56" s="26">
        <v>4</v>
      </c>
      <c r="AF56" s="26">
        <v>4</v>
      </c>
      <c r="AG56" s="26">
        <v>4</v>
      </c>
      <c r="AH56" s="28">
        <f t="shared" si="3"/>
        <v>10</v>
      </c>
      <c r="AI56" s="26">
        <v>4</v>
      </c>
      <c r="AJ56" s="26">
        <v>4</v>
      </c>
      <c r="AK56" s="28">
        <f t="shared" si="4"/>
        <v>5</v>
      </c>
      <c r="AL56" s="28">
        <f t="shared" si="5"/>
        <v>93.6</v>
      </c>
      <c r="AM56" s="26"/>
      <c r="AN56" s="25" t="str">
        <f t="shared" si="6"/>
        <v>否</v>
      </c>
      <c r="AO56" s="25" t="str">
        <f t="shared" si="7"/>
        <v>合格</v>
      </c>
      <c r="AP56" s="25" t="str">
        <f t="shared" si="8"/>
        <v>合格</v>
      </c>
      <c r="AQ56" s="25" t="str">
        <f t="shared" si="9"/>
        <v>合格</v>
      </c>
      <c r="AR56" s="25" t="str">
        <f t="shared" si="10"/>
        <v>合格</v>
      </c>
      <c r="AS56" s="25" t="str">
        <f t="shared" si="11"/>
        <v>合格</v>
      </c>
      <c r="AT56" s="25" t="str">
        <f t="shared" si="12"/>
        <v>生产可用</v>
      </c>
      <c r="AU56" s="25"/>
      <c r="AV56" s="29"/>
      <c r="AW56" s="30" t="s">
        <v>578</v>
      </c>
    </row>
    <row r="57" ht="68" spans="1:49">
      <c r="A57" s="25" t="s">
        <v>530</v>
      </c>
      <c r="B57" s="26" t="s">
        <v>210</v>
      </c>
      <c r="C57" s="26" t="s">
        <v>109</v>
      </c>
      <c r="D57" s="26" t="s">
        <v>467</v>
      </c>
      <c r="E57" s="27" t="s">
        <v>468</v>
      </c>
      <c r="F57" s="26" t="s">
        <v>471</v>
      </c>
      <c r="G57" s="26"/>
      <c r="H57" s="26"/>
      <c r="I57" s="26">
        <v>5</v>
      </c>
      <c r="J57" s="26">
        <v>3</v>
      </c>
      <c r="K57" s="26">
        <v>3</v>
      </c>
      <c r="L57" s="26">
        <v>3</v>
      </c>
      <c r="M57" s="26">
        <v>3</v>
      </c>
      <c r="N57" s="26">
        <v>4</v>
      </c>
      <c r="O57" s="26">
        <v>3</v>
      </c>
      <c r="P57" s="26">
        <v>3</v>
      </c>
      <c r="Q57" s="26">
        <v>4</v>
      </c>
      <c r="R57" s="26">
        <v>4</v>
      </c>
      <c r="S57" s="28">
        <f t="shared" si="0"/>
        <v>36.55</v>
      </c>
      <c r="T57" s="26">
        <v>4</v>
      </c>
      <c r="U57" s="26">
        <v>4</v>
      </c>
      <c r="V57" s="26">
        <v>4</v>
      </c>
      <c r="W57" s="26">
        <v>3</v>
      </c>
      <c r="X57" s="26">
        <v>4</v>
      </c>
      <c r="Y57" s="26">
        <v>4</v>
      </c>
      <c r="Z57" s="28">
        <f t="shared" si="1"/>
        <v>29</v>
      </c>
      <c r="AA57" s="26">
        <v>4</v>
      </c>
      <c r="AB57" s="26">
        <v>4</v>
      </c>
      <c r="AC57" s="26">
        <v>4</v>
      </c>
      <c r="AD57" s="28">
        <f t="shared" si="2"/>
        <v>10</v>
      </c>
      <c r="AE57" s="26">
        <v>4</v>
      </c>
      <c r="AF57" s="26">
        <v>4</v>
      </c>
      <c r="AG57" s="26">
        <v>3</v>
      </c>
      <c r="AH57" s="28">
        <f t="shared" si="3"/>
        <v>9.25</v>
      </c>
      <c r="AI57" s="26">
        <v>4</v>
      </c>
      <c r="AJ57" s="26">
        <v>4</v>
      </c>
      <c r="AK57" s="28">
        <f t="shared" si="4"/>
        <v>5</v>
      </c>
      <c r="AL57" s="28">
        <f t="shared" si="5"/>
        <v>89.8</v>
      </c>
      <c r="AM57" s="26"/>
      <c r="AN57" s="25" t="str">
        <f t="shared" si="6"/>
        <v>否</v>
      </c>
      <c r="AO57" s="25" t="str">
        <f t="shared" si="7"/>
        <v>合格</v>
      </c>
      <c r="AP57" s="25" t="str">
        <f t="shared" si="8"/>
        <v>合格</v>
      </c>
      <c r="AQ57" s="25" t="str">
        <f t="shared" si="9"/>
        <v>合格</v>
      </c>
      <c r="AR57" s="25" t="str">
        <f t="shared" si="10"/>
        <v>合格</v>
      </c>
      <c r="AS57" s="25" t="str">
        <f t="shared" si="11"/>
        <v>合格</v>
      </c>
      <c r="AT57" s="25" t="str">
        <f t="shared" si="12"/>
        <v>生产可用</v>
      </c>
      <c r="AU57" s="25"/>
      <c r="AV57" s="29"/>
      <c r="AW57" s="30" t="s">
        <v>579</v>
      </c>
    </row>
    <row r="58" ht="68" spans="1:49">
      <c r="A58" s="25" t="s">
        <v>531</v>
      </c>
      <c r="B58" s="26" t="s">
        <v>210</v>
      </c>
      <c r="C58" s="26" t="s">
        <v>109</v>
      </c>
      <c r="D58" s="26" t="s">
        <v>473</v>
      </c>
      <c r="E58" s="27" t="s">
        <v>474</v>
      </c>
      <c r="F58" s="26" t="s">
        <v>469</v>
      </c>
      <c r="G58" s="26"/>
      <c r="H58" s="26"/>
      <c r="I58" s="26">
        <v>5</v>
      </c>
      <c r="J58" s="26">
        <v>4</v>
      </c>
      <c r="K58" s="26">
        <v>3</v>
      </c>
      <c r="L58" s="26">
        <v>3</v>
      </c>
      <c r="M58" s="26">
        <v>4</v>
      </c>
      <c r="N58" s="26">
        <v>4</v>
      </c>
      <c r="O58" s="26">
        <v>3</v>
      </c>
      <c r="P58" s="26">
        <v>3</v>
      </c>
      <c r="Q58" s="26">
        <v>4</v>
      </c>
      <c r="R58" s="26">
        <v>4</v>
      </c>
      <c r="S58" s="28">
        <f t="shared" si="0"/>
        <v>38.6</v>
      </c>
      <c r="T58" s="26">
        <v>4</v>
      </c>
      <c r="U58" s="26">
        <v>4</v>
      </c>
      <c r="V58" s="26">
        <v>4</v>
      </c>
      <c r="W58" s="26">
        <v>4</v>
      </c>
      <c r="X58" s="26">
        <v>4</v>
      </c>
      <c r="Y58" s="26">
        <v>3</v>
      </c>
      <c r="Z58" s="28">
        <f t="shared" si="1"/>
        <v>29.25</v>
      </c>
      <c r="AA58" s="26">
        <v>4</v>
      </c>
      <c r="AB58" s="26">
        <v>4</v>
      </c>
      <c r="AC58" s="26">
        <v>4</v>
      </c>
      <c r="AD58" s="28">
        <f t="shared" si="2"/>
        <v>10</v>
      </c>
      <c r="AE58" s="26">
        <v>4</v>
      </c>
      <c r="AF58" s="26">
        <v>4</v>
      </c>
      <c r="AG58" s="26">
        <v>3</v>
      </c>
      <c r="AH58" s="28">
        <f t="shared" si="3"/>
        <v>9.25</v>
      </c>
      <c r="AI58" s="26">
        <v>4</v>
      </c>
      <c r="AJ58" s="26">
        <v>4</v>
      </c>
      <c r="AK58" s="28">
        <f t="shared" si="4"/>
        <v>5</v>
      </c>
      <c r="AL58" s="28">
        <f t="shared" si="5"/>
        <v>92.1</v>
      </c>
      <c r="AM58" s="26"/>
      <c r="AN58" s="25" t="str">
        <f t="shared" si="6"/>
        <v>否</v>
      </c>
      <c r="AO58" s="25" t="str">
        <f t="shared" si="7"/>
        <v>合格</v>
      </c>
      <c r="AP58" s="25" t="str">
        <f t="shared" si="8"/>
        <v>合格</v>
      </c>
      <c r="AQ58" s="25" t="str">
        <f t="shared" si="9"/>
        <v>合格</v>
      </c>
      <c r="AR58" s="25" t="str">
        <f t="shared" si="10"/>
        <v>合格</v>
      </c>
      <c r="AS58" s="25" t="str">
        <f t="shared" si="11"/>
        <v>合格</v>
      </c>
      <c r="AT58" s="25" t="str">
        <f t="shared" si="12"/>
        <v>生产可用</v>
      </c>
      <c r="AU58" s="25"/>
      <c r="AV58" s="29"/>
      <c r="AW58" s="30" t="s">
        <v>580</v>
      </c>
    </row>
    <row r="59" ht="84" spans="1:49">
      <c r="A59" s="25" t="s">
        <v>532</v>
      </c>
      <c r="B59" s="26" t="s">
        <v>210</v>
      </c>
      <c r="C59" s="26" t="s">
        <v>109</v>
      </c>
      <c r="D59" s="26" t="s">
        <v>473</v>
      </c>
      <c r="E59" s="27" t="s">
        <v>474</v>
      </c>
      <c r="F59" s="26" t="s">
        <v>471</v>
      </c>
      <c r="G59" s="26"/>
      <c r="H59" s="26"/>
      <c r="I59" s="26">
        <v>5</v>
      </c>
      <c r="J59" s="26">
        <v>3</v>
      </c>
      <c r="K59" s="26">
        <v>3</v>
      </c>
      <c r="L59" s="26">
        <v>3</v>
      </c>
      <c r="M59" s="26">
        <v>3</v>
      </c>
      <c r="N59" s="26">
        <v>2</v>
      </c>
      <c r="O59" s="26">
        <v>3</v>
      </c>
      <c r="P59" s="26">
        <v>3</v>
      </c>
      <c r="Q59" s="26">
        <v>4</v>
      </c>
      <c r="R59" s="26">
        <v>4</v>
      </c>
      <c r="S59" s="28">
        <f t="shared" si="0"/>
        <v>33.55</v>
      </c>
      <c r="T59" s="26">
        <v>4</v>
      </c>
      <c r="U59" s="26">
        <v>3</v>
      </c>
      <c r="V59" s="26">
        <v>3</v>
      </c>
      <c r="W59" s="26">
        <v>4</v>
      </c>
      <c r="X59" s="26">
        <v>4</v>
      </c>
      <c r="Y59" s="26">
        <v>4</v>
      </c>
      <c r="Z59" s="28">
        <f t="shared" si="1"/>
        <v>27</v>
      </c>
      <c r="AA59" s="26">
        <v>4</v>
      </c>
      <c r="AB59" s="26">
        <v>4</v>
      </c>
      <c r="AC59" s="26">
        <v>4</v>
      </c>
      <c r="AD59" s="28">
        <f t="shared" si="2"/>
        <v>10</v>
      </c>
      <c r="AE59" s="26">
        <v>4</v>
      </c>
      <c r="AF59" s="26">
        <v>4</v>
      </c>
      <c r="AG59" s="26">
        <v>3</v>
      </c>
      <c r="AH59" s="28">
        <f t="shared" si="3"/>
        <v>9.25</v>
      </c>
      <c r="AI59" s="26">
        <v>4</v>
      </c>
      <c r="AJ59" s="26">
        <v>4</v>
      </c>
      <c r="AK59" s="28">
        <f t="shared" si="4"/>
        <v>5</v>
      </c>
      <c r="AL59" s="28">
        <f t="shared" si="5"/>
        <v>84.8</v>
      </c>
      <c r="AM59" s="26"/>
      <c r="AN59" s="25" t="str">
        <f t="shared" si="6"/>
        <v>否</v>
      </c>
      <c r="AO59" s="25" t="str">
        <f t="shared" si="7"/>
        <v>临界</v>
      </c>
      <c r="AP59" s="25" t="str">
        <f t="shared" si="8"/>
        <v>合格</v>
      </c>
      <c r="AQ59" s="25" t="str">
        <f t="shared" si="9"/>
        <v>合格</v>
      </c>
      <c r="AR59" s="25" t="str">
        <f t="shared" si="10"/>
        <v>合格</v>
      </c>
      <c r="AS59" s="25" t="str">
        <f t="shared" si="11"/>
        <v>合格</v>
      </c>
      <c r="AT59" s="25" t="str">
        <f t="shared" si="12"/>
        <v>待复核</v>
      </c>
      <c r="AU59" s="25"/>
      <c r="AV59" s="29"/>
      <c r="AW59" s="30" t="s">
        <v>581</v>
      </c>
    </row>
    <row r="60" ht="51" spans="1:49">
      <c r="A60" s="25" t="s">
        <v>533</v>
      </c>
      <c r="B60" s="26" t="s">
        <v>210</v>
      </c>
      <c r="C60" s="26" t="s">
        <v>109</v>
      </c>
      <c r="D60" s="26" t="s">
        <v>477</v>
      </c>
      <c r="E60" s="27">
        <v>2.5</v>
      </c>
      <c r="F60" s="26" t="s">
        <v>469</v>
      </c>
      <c r="G60" s="26"/>
      <c r="H60" s="26"/>
      <c r="I60" s="26">
        <v>5</v>
      </c>
      <c r="J60" s="26">
        <v>4</v>
      </c>
      <c r="K60" s="26">
        <v>5</v>
      </c>
      <c r="L60" s="26">
        <v>4</v>
      </c>
      <c r="M60" s="26">
        <v>4</v>
      </c>
      <c r="N60" s="26">
        <v>4</v>
      </c>
      <c r="O60" s="26">
        <v>4</v>
      </c>
      <c r="P60" s="26">
        <v>4</v>
      </c>
      <c r="Q60" s="26">
        <v>4</v>
      </c>
      <c r="R60" s="26">
        <v>4</v>
      </c>
      <c r="S60" s="28">
        <f t="shared" si="0"/>
        <v>44.2</v>
      </c>
      <c r="T60" s="26">
        <v>4</v>
      </c>
      <c r="U60" s="26">
        <v>4</v>
      </c>
      <c r="V60" s="26">
        <v>4</v>
      </c>
      <c r="W60" s="26">
        <v>4</v>
      </c>
      <c r="X60" s="26">
        <v>4</v>
      </c>
      <c r="Y60" s="26">
        <v>4</v>
      </c>
      <c r="Z60" s="28">
        <f t="shared" si="1"/>
        <v>30</v>
      </c>
      <c r="AA60" s="26">
        <v>2</v>
      </c>
      <c r="AB60" s="26">
        <v>3</v>
      </c>
      <c r="AC60" s="26">
        <v>4</v>
      </c>
      <c r="AD60" s="28">
        <f t="shared" si="2"/>
        <v>7.25</v>
      </c>
      <c r="AE60" s="26">
        <v>4</v>
      </c>
      <c r="AF60" s="26">
        <v>4</v>
      </c>
      <c r="AG60" s="26">
        <v>4</v>
      </c>
      <c r="AH60" s="28">
        <f t="shared" si="3"/>
        <v>10</v>
      </c>
      <c r="AI60" s="26">
        <v>4</v>
      </c>
      <c r="AJ60" s="26">
        <v>4</v>
      </c>
      <c r="AK60" s="28">
        <f t="shared" si="4"/>
        <v>5</v>
      </c>
      <c r="AL60" s="28">
        <f t="shared" si="5"/>
        <v>96.45</v>
      </c>
      <c r="AM60" s="26"/>
      <c r="AN60" s="25" t="str">
        <f t="shared" si="6"/>
        <v>否</v>
      </c>
      <c r="AO60" s="25" t="str">
        <f t="shared" si="7"/>
        <v>合格</v>
      </c>
      <c r="AP60" s="25" t="str">
        <f t="shared" si="8"/>
        <v>合格</v>
      </c>
      <c r="AQ60" s="25" t="str">
        <f t="shared" si="9"/>
        <v>合格</v>
      </c>
      <c r="AR60" s="25" t="str">
        <f t="shared" si="10"/>
        <v>合格</v>
      </c>
      <c r="AS60" s="25" t="str">
        <f t="shared" si="11"/>
        <v>合格</v>
      </c>
      <c r="AT60" s="25" t="str">
        <f t="shared" si="12"/>
        <v>生产可用</v>
      </c>
      <c r="AU60" s="25"/>
      <c r="AV60" s="29"/>
      <c r="AW60" s="30" t="s">
        <v>582</v>
      </c>
    </row>
    <row r="61" ht="51" spans="1:49">
      <c r="A61" s="25" t="s">
        <v>534</v>
      </c>
      <c r="B61" s="26" t="s">
        <v>210</v>
      </c>
      <c r="C61" s="26" t="s">
        <v>109</v>
      </c>
      <c r="D61" s="26" t="s">
        <v>477</v>
      </c>
      <c r="E61" s="27">
        <v>2.5</v>
      </c>
      <c r="F61" s="26" t="s">
        <v>471</v>
      </c>
      <c r="G61" s="26"/>
      <c r="H61" s="26"/>
      <c r="I61" s="26">
        <v>5</v>
      </c>
      <c r="J61" s="26">
        <v>4</v>
      </c>
      <c r="K61" s="26">
        <v>5</v>
      </c>
      <c r="L61" s="26">
        <v>4</v>
      </c>
      <c r="M61" s="26">
        <v>4</v>
      </c>
      <c r="N61" s="26">
        <v>4</v>
      </c>
      <c r="O61" s="26">
        <v>4</v>
      </c>
      <c r="P61" s="26">
        <v>4</v>
      </c>
      <c r="Q61" s="26">
        <v>4</v>
      </c>
      <c r="R61" s="26">
        <v>4</v>
      </c>
      <c r="S61" s="28">
        <f t="shared" si="0"/>
        <v>44.2</v>
      </c>
      <c r="T61" s="26">
        <v>4</v>
      </c>
      <c r="U61" s="26">
        <v>4</v>
      </c>
      <c r="V61" s="26">
        <v>4</v>
      </c>
      <c r="W61" s="26">
        <v>4</v>
      </c>
      <c r="X61" s="26">
        <v>4</v>
      </c>
      <c r="Y61" s="26">
        <v>4</v>
      </c>
      <c r="Z61" s="28">
        <f t="shared" si="1"/>
        <v>30</v>
      </c>
      <c r="AA61" s="26">
        <v>2</v>
      </c>
      <c r="AB61" s="26">
        <v>3</v>
      </c>
      <c r="AC61" s="26">
        <v>4</v>
      </c>
      <c r="AD61" s="28">
        <f t="shared" si="2"/>
        <v>7.25</v>
      </c>
      <c r="AE61" s="26">
        <v>4</v>
      </c>
      <c r="AF61" s="26">
        <v>4</v>
      </c>
      <c r="AG61" s="26">
        <v>4</v>
      </c>
      <c r="AH61" s="28">
        <f t="shared" si="3"/>
        <v>10</v>
      </c>
      <c r="AI61" s="26">
        <v>4</v>
      </c>
      <c r="AJ61" s="26">
        <v>4</v>
      </c>
      <c r="AK61" s="28">
        <f t="shared" si="4"/>
        <v>5</v>
      </c>
      <c r="AL61" s="28">
        <f t="shared" si="5"/>
        <v>96.45</v>
      </c>
      <c r="AM61" s="26"/>
      <c r="AN61" s="25" t="str">
        <f t="shared" si="6"/>
        <v>否</v>
      </c>
      <c r="AO61" s="25" t="str">
        <f t="shared" si="7"/>
        <v>合格</v>
      </c>
      <c r="AP61" s="25" t="str">
        <f t="shared" si="8"/>
        <v>合格</v>
      </c>
      <c r="AQ61" s="25" t="str">
        <f t="shared" si="9"/>
        <v>合格</v>
      </c>
      <c r="AR61" s="25" t="str">
        <f t="shared" si="10"/>
        <v>合格</v>
      </c>
      <c r="AS61" s="25" t="str">
        <f t="shared" si="11"/>
        <v>合格</v>
      </c>
      <c r="AT61" s="25" t="str">
        <f t="shared" si="12"/>
        <v>生产可用</v>
      </c>
      <c r="AU61" s="25"/>
      <c r="AV61" s="29"/>
      <c r="AW61" s="30" t="s">
        <v>582</v>
      </c>
    </row>
  </sheetData>
  <conditionalFormatting sqref="S2:S6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Z2:Z6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D2:AD61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H2:AH61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K2:AK61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L2:AL61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O2:AO61">
    <cfRule type="expression" dxfId="2" priority="7">
      <formula>AO2="合格"</formula>
    </cfRule>
    <cfRule type="expression" dxfId="1" priority="8">
      <formula>AO2="临界"</formula>
    </cfRule>
    <cfRule type="expression" dxfId="0" priority="9">
      <formula>AO2="不合格"</formula>
    </cfRule>
  </conditionalFormatting>
  <conditionalFormatting sqref="AP2:AP61">
    <cfRule type="expression" dxfId="2" priority="10">
      <formula>AP2="合格"</formula>
    </cfRule>
    <cfRule type="expression" dxfId="1" priority="11">
      <formula>AP2="临界"</formula>
    </cfRule>
    <cfRule type="expression" dxfId="0" priority="12">
      <formula>AP2="不合格"</formula>
    </cfRule>
  </conditionalFormatting>
  <conditionalFormatting sqref="AQ2:AQ61">
    <cfRule type="expression" dxfId="2" priority="13">
      <formula>AQ2="合格"</formula>
    </cfRule>
    <cfRule type="expression" dxfId="1" priority="14">
      <formula>AQ2="临界"</formula>
    </cfRule>
    <cfRule type="expression" dxfId="0" priority="15">
      <formula>AQ2="不合格"</formula>
    </cfRule>
  </conditionalFormatting>
  <conditionalFormatting sqref="AR2:AR61">
    <cfRule type="expression" dxfId="2" priority="16">
      <formula>AR2="合格"</formula>
    </cfRule>
    <cfRule type="expression" dxfId="1" priority="17">
      <formula>AR2="临界"</formula>
    </cfRule>
    <cfRule type="expression" dxfId="0" priority="18">
      <formula>AR2="不合格"</formula>
    </cfRule>
  </conditionalFormatting>
  <conditionalFormatting sqref="AS2:AS61">
    <cfRule type="expression" dxfId="2" priority="19">
      <formula>AS2="合格"</formula>
    </cfRule>
    <cfRule type="expression" dxfId="1" priority="20">
      <formula>AS2="临界"</formula>
    </cfRule>
    <cfRule type="expression" dxfId="0" priority="21">
      <formula>AS2="不合格"</formula>
    </cfRule>
  </conditionalFormatting>
  <conditionalFormatting sqref="AT2:AT61">
    <cfRule type="expression" dxfId="2" priority="22">
      <formula>AT2="生产可用"</formula>
    </cfRule>
    <cfRule type="expression" dxfId="1" priority="23">
      <formula>AT2="待复核"</formula>
    </cfRule>
    <cfRule type="expression" dxfId="0" priority="24">
      <formula>OR(AT2="不可用",AT2="严重失败")</formula>
    </cfRule>
  </conditionalFormatting>
  <dataValidations count="3">
    <dataValidation type="list" sqref="AM2:AM61">
      <formula1>",物种错误,品种完全错误,主要毛色完全错误,多个关键身份特征完全丢失,核心环境完全错误,核心纪念元素严重错误/缺失,多肢/少肢/多头,面部严重崩坏,身体严重融合/断裂,未经要求的墓碑/墓地/RIP等死亡叙事,尸体/伤口/明显病痛,恐怖/极端痛苦内容,强烈宗教/升天叙事,完全拟人化导致宠物身份消失,其他严重失败"</formula1>
    </dataValidation>
    <dataValidation type="list" sqref="I2:K61">
      <formula1>"0,1,2,3,4,5"</formula1>
    </dataValidation>
    <dataValidation type="list" sqref="AA2:AC61 L2:R61 T2:Y61 AE2:AG61 AI2:AJ61">
      <formula1>"0,1,2,3,4"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topLeftCell="N8" workbookViewId="0">
      <selection activeCell="P32" sqref="P32"/>
    </sheetView>
  </sheetViews>
  <sheetFormatPr defaultColWidth="9" defaultRowHeight="16.8"/>
  <cols>
    <col min="1" max="1" width="9" customWidth="1"/>
    <col min="2" max="2" width="10" customWidth="1"/>
    <col min="3" max="4" width="9" customWidth="1"/>
    <col min="5" max="5" width="16" customWidth="1"/>
    <col min="6" max="6" width="12" customWidth="1"/>
    <col min="7" max="7" width="10" customWidth="1"/>
    <col min="8" max="9" width="12" customWidth="1"/>
    <col min="10" max="10" width="10" customWidth="1"/>
    <col min="11" max="12" width="12" customWidth="1"/>
    <col min="13" max="13" width="42" customWidth="1"/>
    <col min="14" max="14" width="44" customWidth="1"/>
    <col min="15" max="15" width="52" customWidth="1"/>
    <col min="16" max="16" width="18" customWidth="1"/>
    <col min="17" max="17" width="38" customWidth="1"/>
  </cols>
  <sheetData>
    <row r="1" ht="30" customHeight="1" spans="1:17">
      <c r="A1" s="1" t="s">
        <v>583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2" customHeight="1" spans="1:17">
      <c r="A2" s="19" t="s">
        <v>584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4" spans="1:17">
      <c r="A4" s="20" t="s">
        <v>585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ht="31" spans="1:17">
      <c r="A5" s="2" t="s">
        <v>586</v>
      </c>
      <c r="B5" s="2" t="s">
        <v>587</v>
      </c>
      <c r="C5" s="2" t="s">
        <v>588</v>
      </c>
      <c r="D5" s="2" t="s">
        <v>589</v>
      </c>
      <c r="E5" s="2" t="s">
        <v>590</v>
      </c>
      <c r="F5" s="2" t="s">
        <v>591</v>
      </c>
    </row>
    <row r="6" ht="68" customHeight="1" spans="1:17">
      <c r="A6" s="21" t="s">
        <v>592</v>
      </c>
      <c r="B6" s="21" t="s">
        <v>593</v>
      </c>
      <c r="C6" s="21" t="s">
        <v>594</v>
      </c>
      <c r="D6" s="21" t="s">
        <v>595</v>
      </c>
      <c r="E6" s="21" t="s">
        <v>596</v>
      </c>
      <c r="F6" s="21" t="s">
        <v>597</v>
      </c>
    </row>
    <row r="7" ht="68" customHeight="1" spans="1:17">
      <c r="A7" s="21" t="s">
        <v>598</v>
      </c>
      <c r="B7" s="21" t="s">
        <v>599</v>
      </c>
      <c r="C7" s="21" t="s">
        <v>600</v>
      </c>
      <c r="D7" s="21" t="s">
        <v>601</v>
      </c>
      <c r="E7" s="21" t="s">
        <v>602</v>
      </c>
      <c r="F7" s="21" t="s">
        <v>603</v>
      </c>
    </row>
    <row r="8" ht="68" customHeight="1" spans="1:17">
      <c r="A8" s="21" t="s">
        <v>604</v>
      </c>
      <c r="B8" s="21" t="s">
        <v>605</v>
      </c>
      <c r="C8" s="21" t="s">
        <v>606</v>
      </c>
      <c r="D8" s="21" t="s">
        <v>607</v>
      </c>
      <c r="E8" s="21" t="s">
        <v>608</v>
      </c>
      <c r="F8" s="21" t="s">
        <v>609</v>
      </c>
    </row>
    <row r="9" ht="68" customHeight="1" spans="1:17">
      <c r="A9" s="21" t="s">
        <v>401</v>
      </c>
      <c r="B9" s="21" t="s">
        <v>610</v>
      </c>
      <c r="C9" s="21" t="s">
        <v>611</v>
      </c>
      <c r="D9" s="21" t="s">
        <v>612</v>
      </c>
      <c r="E9" s="21" t="s">
        <v>613</v>
      </c>
      <c r="F9" s="21" t="s">
        <v>614</v>
      </c>
    </row>
    <row r="12" ht="46" customHeight="1" spans="1:17">
      <c r="A12" s="2" t="s">
        <v>615</v>
      </c>
      <c r="B12" s="2" t="s">
        <v>420</v>
      </c>
      <c r="C12" s="2" t="s">
        <v>616</v>
      </c>
      <c r="D12" s="2" t="s">
        <v>617</v>
      </c>
      <c r="E12" s="2" t="s">
        <v>421</v>
      </c>
      <c r="F12" s="2" t="s">
        <v>618</v>
      </c>
      <c r="G12" s="2" t="s">
        <v>619</v>
      </c>
      <c r="H12" s="2" t="s">
        <v>620</v>
      </c>
      <c r="I12" s="2" t="s">
        <v>621</v>
      </c>
      <c r="J12" s="2" t="s">
        <v>622</v>
      </c>
      <c r="K12" s="2" t="s">
        <v>623</v>
      </c>
      <c r="L12" s="2" t="s">
        <v>624</v>
      </c>
      <c r="M12" s="2" t="s">
        <v>625</v>
      </c>
      <c r="N12" s="2" t="s">
        <v>626</v>
      </c>
      <c r="O12" s="2" t="s">
        <v>627</v>
      </c>
      <c r="P12" s="2" t="s">
        <v>628</v>
      </c>
      <c r="Q12" s="2" t="s">
        <v>629</v>
      </c>
    </row>
    <row r="13" ht="96" customHeight="1" spans="1:17">
      <c r="A13" s="22" t="s">
        <v>630</v>
      </c>
      <c r="B13" s="22" t="s">
        <v>466</v>
      </c>
      <c r="C13" s="22" t="s">
        <v>126</v>
      </c>
      <c r="D13" s="22" t="s">
        <v>46</v>
      </c>
      <c r="E13" s="22" t="s">
        <v>467</v>
      </c>
      <c r="F13" s="22" t="s">
        <v>468</v>
      </c>
      <c r="G13" s="22" t="s">
        <v>469</v>
      </c>
      <c r="H13" s="23">
        <v>97.9</v>
      </c>
      <c r="I13" s="23">
        <v>89.85</v>
      </c>
      <c r="J13" s="23">
        <v>8.05</v>
      </c>
      <c r="K13" s="22" t="s">
        <v>631</v>
      </c>
      <c r="L13" s="22" t="s">
        <v>632</v>
      </c>
      <c r="M13" s="22" t="s">
        <v>633</v>
      </c>
      <c r="N13" s="22" t="s">
        <v>634</v>
      </c>
      <c r="O13" s="22" t="s">
        <v>635</v>
      </c>
      <c r="P13" s="24" t="s">
        <v>636</v>
      </c>
      <c r="Q13" s="24" t="s">
        <v>637</v>
      </c>
    </row>
    <row r="14" ht="96" customHeight="1" spans="1:17">
      <c r="A14" s="22" t="s">
        <v>630</v>
      </c>
      <c r="B14" s="22" t="s">
        <v>470</v>
      </c>
      <c r="C14" s="22" t="s">
        <v>126</v>
      </c>
      <c r="D14" s="22" t="s">
        <v>46</v>
      </c>
      <c r="E14" s="22" t="s">
        <v>467</v>
      </c>
      <c r="F14" s="22" t="s">
        <v>468</v>
      </c>
      <c r="G14" s="22" t="s">
        <v>471</v>
      </c>
      <c r="H14" s="23">
        <v>97.9</v>
      </c>
      <c r="I14" s="23">
        <v>89.35</v>
      </c>
      <c r="J14" s="23">
        <v>8.55</v>
      </c>
      <c r="K14" s="22" t="s">
        <v>631</v>
      </c>
      <c r="L14" s="22" t="s">
        <v>631</v>
      </c>
      <c r="M14" s="22" t="s">
        <v>633</v>
      </c>
      <c r="N14" s="22" t="s">
        <v>638</v>
      </c>
      <c r="O14" s="22" t="s">
        <v>639</v>
      </c>
      <c r="P14" s="24" t="s">
        <v>636</v>
      </c>
      <c r="Q14" s="24" t="s">
        <v>637</v>
      </c>
    </row>
    <row r="15" ht="51" spans="1:17">
      <c r="A15" s="22" t="s">
        <v>630</v>
      </c>
      <c r="B15" s="22" t="s">
        <v>472</v>
      </c>
      <c r="C15" s="22" t="s">
        <v>126</v>
      </c>
      <c r="D15" s="22" t="s">
        <v>46</v>
      </c>
      <c r="E15" s="22" t="s">
        <v>473</v>
      </c>
      <c r="F15" s="22" t="s">
        <v>474</v>
      </c>
      <c r="G15" s="22" t="s">
        <v>469</v>
      </c>
      <c r="H15" s="23">
        <v>88.8</v>
      </c>
      <c r="I15" s="23">
        <v>88.05</v>
      </c>
      <c r="J15" s="23">
        <v>0.75</v>
      </c>
      <c r="K15" s="22" t="s">
        <v>631</v>
      </c>
      <c r="L15" s="22" t="s">
        <v>632</v>
      </c>
      <c r="M15" s="22" t="s">
        <v>640</v>
      </c>
      <c r="N15" s="22" t="s">
        <v>641</v>
      </c>
      <c r="O15" s="22" t="s">
        <v>642</v>
      </c>
      <c r="P15" s="24" t="s">
        <v>643</v>
      </c>
      <c r="Q15" s="24" t="s">
        <v>637</v>
      </c>
    </row>
    <row r="16" ht="96" customHeight="1" spans="1:17">
      <c r="A16" s="22" t="s">
        <v>630</v>
      </c>
      <c r="B16" s="22" t="s">
        <v>476</v>
      </c>
      <c r="C16" s="22" t="s">
        <v>126</v>
      </c>
      <c r="D16" s="22" t="s">
        <v>46</v>
      </c>
      <c r="E16" s="22" t="s">
        <v>477</v>
      </c>
      <c r="F16" s="22" t="s">
        <v>644</v>
      </c>
      <c r="G16" s="22" t="s">
        <v>469</v>
      </c>
      <c r="H16" s="23">
        <v>86.75</v>
      </c>
      <c r="I16" s="23">
        <v>95.95</v>
      </c>
      <c r="J16" s="23">
        <v>9.2</v>
      </c>
      <c r="K16" s="22" t="s">
        <v>632</v>
      </c>
      <c r="L16" s="22" t="s">
        <v>631</v>
      </c>
      <c r="M16" s="22" t="s">
        <v>645</v>
      </c>
      <c r="N16" s="22" t="s">
        <v>646</v>
      </c>
      <c r="O16" s="22" t="s">
        <v>647</v>
      </c>
      <c r="P16" s="24" t="s">
        <v>648</v>
      </c>
      <c r="Q16" s="24" t="s">
        <v>649</v>
      </c>
    </row>
    <row r="17" ht="96" customHeight="1" spans="1:17">
      <c r="A17" s="22" t="s">
        <v>630</v>
      </c>
      <c r="B17" s="22" t="s">
        <v>478</v>
      </c>
      <c r="C17" s="22" t="s">
        <v>126</v>
      </c>
      <c r="D17" s="22" t="s">
        <v>46</v>
      </c>
      <c r="E17" s="22" t="s">
        <v>477</v>
      </c>
      <c r="F17" s="22" t="s">
        <v>644</v>
      </c>
      <c r="G17" s="22" t="s">
        <v>471</v>
      </c>
      <c r="H17" s="23">
        <v>86.75</v>
      </c>
      <c r="I17" s="23">
        <v>95.95</v>
      </c>
      <c r="J17" s="23">
        <v>9.2</v>
      </c>
      <c r="K17" s="22" t="s">
        <v>632</v>
      </c>
      <c r="L17" s="22" t="s">
        <v>631</v>
      </c>
      <c r="M17" s="22" t="s">
        <v>645</v>
      </c>
      <c r="N17" s="22" t="s">
        <v>646</v>
      </c>
      <c r="O17" s="22" t="s">
        <v>650</v>
      </c>
      <c r="P17" s="24" t="s">
        <v>648</v>
      </c>
      <c r="Q17" s="24" t="s">
        <v>637</v>
      </c>
    </row>
    <row r="18" ht="96" customHeight="1" spans="1:17">
      <c r="A18" s="22" t="s">
        <v>630</v>
      </c>
      <c r="B18" s="22" t="s">
        <v>479</v>
      </c>
      <c r="C18" s="22" t="s">
        <v>136</v>
      </c>
      <c r="D18" s="22" t="s">
        <v>53</v>
      </c>
      <c r="E18" s="22" t="s">
        <v>467</v>
      </c>
      <c r="F18" s="22" t="s">
        <v>468</v>
      </c>
      <c r="G18" s="22" t="s">
        <v>469</v>
      </c>
      <c r="H18" s="23">
        <v>99.5</v>
      </c>
      <c r="I18" s="23">
        <v>91.55</v>
      </c>
      <c r="J18" s="23">
        <v>7.95</v>
      </c>
      <c r="K18" s="22" t="s">
        <v>631</v>
      </c>
      <c r="L18" s="22" t="s">
        <v>631</v>
      </c>
      <c r="M18" s="22" t="s">
        <v>651</v>
      </c>
      <c r="N18" s="22" t="s">
        <v>652</v>
      </c>
      <c r="O18" s="22" t="s">
        <v>653</v>
      </c>
      <c r="P18" s="24" t="s">
        <v>654</v>
      </c>
      <c r="Q18" s="24" t="s">
        <v>637</v>
      </c>
    </row>
    <row r="19" ht="96" customHeight="1" spans="1:17">
      <c r="A19" s="22" t="s">
        <v>630</v>
      </c>
      <c r="B19" s="22" t="s">
        <v>486</v>
      </c>
      <c r="C19" s="22" t="s">
        <v>146</v>
      </c>
      <c r="D19" s="22" t="s">
        <v>60</v>
      </c>
      <c r="E19" s="22" t="s">
        <v>467</v>
      </c>
      <c r="F19" s="22" t="s">
        <v>468</v>
      </c>
      <c r="G19" s="22" t="s">
        <v>469</v>
      </c>
      <c r="H19" s="23">
        <v>98.7</v>
      </c>
      <c r="I19" s="23">
        <v>90.05</v>
      </c>
      <c r="J19" s="23">
        <v>8.65</v>
      </c>
      <c r="K19" s="22" t="s">
        <v>631</v>
      </c>
      <c r="L19" s="22" t="s">
        <v>632</v>
      </c>
      <c r="M19" s="22" t="s">
        <v>655</v>
      </c>
      <c r="N19" s="22" t="s">
        <v>656</v>
      </c>
      <c r="O19" s="22" t="s">
        <v>657</v>
      </c>
      <c r="P19" s="24" t="s">
        <v>658</v>
      </c>
      <c r="Q19" s="24" t="s">
        <v>637</v>
      </c>
    </row>
    <row r="20" ht="96" customHeight="1" spans="1:17">
      <c r="A20" s="22" t="s">
        <v>630</v>
      </c>
      <c r="B20" s="22" t="s">
        <v>487</v>
      </c>
      <c r="C20" s="22" t="s">
        <v>146</v>
      </c>
      <c r="D20" s="22" t="s">
        <v>60</v>
      </c>
      <c r="E20" s="22" t="s">
        <v>467</v>
      </c>
      <c r="F20" s="22" t="s">
        <v>468</v>
      </c>
      <c r="G20" s="22" t="s">
        <v>471</v>
      </c>
      <c r="H20" s="23">
        <v>98.7</v>
      </c>
      <c r="I20" s="23">
        <v>91.05</v>
      </c>
      <c r="J20" s="23">
        <v>7.65</v>
      </c>
      <c r="K20" s="22" t="s">
        <v>631</v>
      </c>
      <c r="L20" s="22" t="s">
        <v>631</v>
      </c>
      <c r="M20" s="22" t="s">
        <v>655</v>
      </c>
      <c r="N20" s="22" t="s">
        <v>659</v>
      </c>
      <c r="O20" s="22" t="s">
        <v>660</v>
      </c>
      <c r="P20" s="24" t="s">
        <v>658</v>
      </c>
      <c r="Q20" s="24" t="s">
        <v>637</v>
      </c>
    </row>
    <row r="21" ht="96" customHeight="1" spans="1:17">
      <c r="A21" s="22" t="s">
        <v>630</v>
      </c>
      <c r="B21" s="22" t="s">
        <v>488</v>
      </c>
      <c r="C21" s="22" t="s">
        <v>146</v>
      </c>
      <c r="D21" s="22" t="s">
        <v>60</v>
      </c>
      <c r="E21" s="22" t="s">
        <v>473</v>
      </c>
      <c r="F21" s="22" t="s">
        <v>474</v>
      </c>
      <c r="G21" s="22" t="s">
        <v>469</v>
      </c>
      <c r="H21" s="23">
        <v>92.2</v>
      </c>
      <c r="I21" s="23">
        <v>86.25</v>
      </c>
      <c r="J21" s="23">
        <v>5.95</v>
      </c>
      <c r="K21" s="22" t="s">
        <v>631</v>
      </c>
      <c r="L21" s="22" t="s">
        <v>632</v>
      </c>
      <c r="M21" s="22" t="s">
        <v>661</v>
      </c>
      <c r="N21" s="22" t="s">
        <v>662</v>
      </c>
      <c r="O21" s="22" t="s">
        <v>663</v>
      </c>
      <c r="P21" s="24" t="s">
        <v>664</v>
      </c>
      <c r="Q21" s="24" t="s">
        <v>637</v>
      </c>
    </row>
    <row r="22" ht="96" customHeight="1" spans="1:17">
      <c r="A22" s="22" t="s">
        <v>630</v>
      </c>
      <c r="B22" s="22" t="s">
        <v>489</v>
      </c>
      <c r="C22" s="22" t="s">
        <v>146</v>
      </c>
      <c r="D22" s="22" t="s">
        <v>60</v>
      </c>
      <c r="E22" s="22" t="s">
        <v>473</v>
      </c>
      <c r="F22" s="22" t="s">
        <v>474</v>
      </c>
      <c r="G22" s="22" t="s">
        <v>471</v>
      </c>
      <c r="H22" s="23">
        <v>92.2</v>
      </c>
      <c r="I22" s="23">
        <v>86.75</v>
      </c>
      <c r="J22" s="23">
        <v>5.45</v>
      </c>
      <c r="K22" s="22" t="s">
        <v>631</v>
      </c>
      <c r="L22" s="22" t="s">
        <v>632</v>
      </c>
      <c r="M22" s="22" t="s">
        <v>661</v>
      </c>
      <c r="N22" s="22" t="s">
        <v>665</v>
      </c>
      <c r="O22" s="22" t="s">
        <v>666</v>
      </c>
      <c r="P22" s="24" t="s">
        <v>664</v>
      </c>
      <c r="Q22" s="24" t="s">
        <v>637</v>
      </c>
    </row>
    <row r="23" ht="96" customHeight="1" spans="1:17">
      <c r="A23" s="22" t="s">
        <v>667</v>
      </c>
      <c r="B23" s="22" t="s">
        <v>492</v>
      </c>
      <c r="C23" s="22" t="s">
        <v>155</v>
      </c>
      <c r="D23" s="22" t="s">
        <v>67</v>
      </c>
      <c r="E23" s="22" t="s">
        <v>467</v>
      </c>
      <c r="F23" s="22" t="s">
        <v>468</v>
      </c>
      <c r="G23" s="22" t="s">
        <v>469</v>
      </c>
      <c r="H23" s="23">
        <v>98.7</v>
      </c>
      <c r="I23" s="23">
        <v>87</v>
      </c>
      <c r="J23" s="23">
        <v>11.7</v>
      </c>
      <c r="K23" s="22" t="s">
        <v>631</v>
      </c>
      <c r="L23" s="22" t="s">
        <v>632</v>
      </c>
      <c r="M23" s="22" t="s">
        <v>668</v>
      </c>
      <c r="N23" s="22" t="s">
        <v>669</v>
      </c>
      <c r="O23" s="22" t="s">
        <v>670</v>
      </c>
      <c r="P23" s="24" t="s">
        <v>671</v>
      </c>
      <c r="Q23" s="24" t="s">
        <v>637</v>
      </c>
    </row>
    <row r="24" ht="96" customHeight="1" spans="1:17">
      <c r="A24" s="22" t="s">
        <v>667</v>
      </c>
      <c r="B24" s="22" t="s">
        <v>493</v>
      </c>
      <c r="C24" s="22" t="s">
        <v>155</v>
      </c>
      <c r="D24" s="22" t="s">
        <v>67</v>
      </c>
      <c r="E24" s="22" t="s">
        <v>467</v>
      </c>
      <c r="F24" s="22" t="s">
        <v>468</v>
      </c>
      <c r="G24" s="22" t="s">
        <v>471</v>
      </c>
      <c r="H24" s="23">
        <v>98.7</v>
      </c>
      <c r="I24" s="23">
        <v>87.5</v>
      </c>
      <c r="J24" s="23">
        <v>11.2</v>
      </c>
      <c r="K24" s="22" t="s">
        <v>631</v>
      </c>
      <c r="L24" s="22" t="s">
        <v>632</v>
      </c>
      <c r="M24" s="22" t="s">
        <v>668</v>
      </c>
      <c r="N24" s="22" t="s">
        <v>672</v>
      </c>
      <c r="O24" s="22" t="s">
        <v>673</v>
      </c>
      <c r="P24" s="24" t="s">
        <v>671</v>
      </c>
      <c r="Q24" s="24" t="s">
        <v>637</v>
      </c>
    </row>
    <row r="25" ht="96" customHeight="1" spans="1:17">
      <c r="A25" s="22" t="s">
        <v>667</v>
      </c>
      <c r="B25" s="22" t="s">
        <v>494</v>
      </c>
      <c r="C25" s="22" t="s">
        <v>155</v>
      </c>
      <c r="D25" s="22" t="s">
        <v>67</v>
      </c>
      <c r="E25" s="22" t="s">
        <v>473</v>
      </c>
      <c r="F25" s="22" t="s">
        <v>474</v>
      </c>
      <c r="G25" s="22" t="s">
        <v>469</v>
      </c>
      <c r="H25" s="23">
        <v>80.65</v>
      </c>
      <c r="I25" s="23">
        <v>90.3</v>
      </c>
      <c r="J25" s="23">
        <v>9.65</v>
      </c>
      <c r="K25" s="22" t="s">
        <v>674</v>
      </c>
      <c r="L25" s="22" t="s">
        <v>631</v>
      </c>
      <c r="M25" s="22" t="s">
        <v>675</v>
      </c>
      <c r="N25" s="22" t="s">
        <v>676</v>
      </c>
      <c r="O25" s="22" t="s">
        <v>677</v>
      </c>
      <c r="P25" s="24" t="s">
        <v>678</v>
      </c>
      <c r="Q25" s="24" t="s">
        <v>637</v>
      </c>
    </row>
    <row r="26" ht="96" customHeight="1" spans="1:17">
      <c r="A26" s="22" t="s">
        <v>667</v>
      </c>
      <c r="B26" s="22" t="s">
        <v>495</v>
      </c>
      <c r="C26" s="22" t="s">
        <v>155</v>
      </c>
      <c r="D26" s="22" t="s">
        <v>67</v>
      </c>
      <c r="E26" s="22" t="s">
        <v>473</v>
      </c>
      <c r="F26" s="22" t="s">
        <v>474</v>
      </c>
      <c r="G26" s="22" t="s">
        <v>471</v>
      </c>
      <c r="H26" s="23">
        <v>83.15</v>
      </c>
      <c r="I26" s="23">
        <v>91.3</v>
      </c>
      <c r="J26" s="23">
        <v>8.15</v>
      </c>
      <c r="K26" s="22" t="s">
        <v>632</v>
      </c>
      <c r="L26" s="22" t="s">
        <v>631</v>
      </c>
      <c r="M26" s="22" t="s">
        <v>679</v>
      </c>
      <c r="N26" s="22" t="s">
        <v>680</v>
      </c>
      <c r="O26" s="22" t="s">
        <v>681</v>
      </c>
      <c r="P26" s="24" t="s">
        <v>682</v>
      </c>
      <c r="Q26" s="24" t="s">
        <v>637</v>
      </c>
    </row>
    <row r="27" ht="96" customHeight="1" spans="1:17">
      <c r="A27" s="22" t="s">
        <v>630</v>
      </c>
      <c r="B27" s="22" t="s">
        <v>507</v>
      </c>
      <c r="C27" s="22" t="s">
        <v>174</v>
      </c>
      <c r="D27" s="22" t="s">
        <v>81</v>
      </c>
      <c r="E27" s="22" t="s">
        <v>473</v>
      </c>
      <c r="F27" s="22" t="s">
        <v>474</v>
      </c>
      <c r="G27" s="22" t="s">
        <v>471</v>
      </c>
      <c r="H27" s="23">
        <v>90.6</v>
      </c>
      <c r="I27" s="23">
        <v>89.35</v>
      </c>
      <c r="J27" s="23">
        <v>1.25</v>
      </c>
      <c r="K27" s="22" t="s">
        <v>632</v>
      </c>
      <c r="L27" s="22" t="s">
        <v>631</v>
      </c>
      <c r="M27" s="22" t="s">
        <v>683</v>
      </c>
      <c r="N27" s="22" t="s">
        <v>684</v>
      </c>
      <c r="O27" s="22" t="s">
        <v>685</v>
      </c>
      <c r="P27" s="24" t="s">
        <v>686</v>
      </c>
      <c r="Q27" s="24" t="s">
        <v>637</v>
      </c>
    </row>
    <row r="28" ht="96" customHeight="1" spans="1:17">
      <c r="A28" s="22" t="s">
        <v>667</v>
      </c>
      <c r="B28" s="22" t="s">
        <v>519</v>
      </c>
      <c r="C28" s="22" t="s">
        <v>192</v>
      </c>
      <c r="D28" s="22" t="s">
        <v>95</v>
      </c>
      <c r="E28" s="22" t="s">
        <v>473</v>
      </c>
      <c r="F28" s="22" t="s">
        <v>474</v>
      </c>
      <c r="G28" s="22" t="s">
        <v>469</v>
      </c>
      <c r="H28" s="23">
        <v>83.45</v>
      </c>
      <c r="I28" s="23">
        <v>95.65</v>
      </c>
      <c r="J28" s="23">
        <v>12.2</v>
      </c>
      <c r="K28" s="22" t="s">
        <v>631</v>
      </c>
      <c r="L28" s="22" t="s">
        <v>631</v>
      </c>
      <c r="M28" s="22" t="s">
        <v>687</v>
      </c>
      <c r="N28" s="22" t="s">
        <v>688</v>
      </c>
      <c r="O28" s="22" t="s">
        <v>689</v>
      </c>
      <c r="P28" s="24" t="s">
        <v>690</v>
      </c>
      <c r="Q28" s="24" t="s">
        <v>637</v>
      </c>
    </row>
    <row r="29" ht="96" customHeight="1" spans="1:17">
      <c r="A29" s="22" t="s">
        <v>667</v>
      </c>
      <c r="B29" s="22" t="s">
        <v>520</v>
      </c>
      <c r="C29" s="22" t="s">
        <v>192</v>
      </c>
      <c r="D29" s="22" t="s">
        <v>95</v>
      </c>
      <c r="E29" s="22" t="s">
        <v>473</v>
      </c>
      <c r="F29" s="22" t="s">
        <v>474</v>
      </c>
      <c r="G29" s="22" t="s">
        <v>471</v>
      </c>
      <c r="H29" s="23">
        <v>89.7</v>
      </c>
      <c r="I29" s="23">
        <v>95.85</v>
      </c>
      <c r="J29" s="23">
        <v>6.15</v>
      </c>
      <c r="K29" s="22" t="s">
        <v>631</v>
      </c>
      <c r="L29" s="22" t="s">
        <v>631</v>
      </c>
      <c r="M29" s="22" t="s">
        <v>691</v>
      </c>
      <c r="N29" s="22" t="s">
        <v>692</v>
      </c>
      <c r="O29" s="22" t="s">
        <v>693</v>
      </c>
      <c r="P29" s="24" t="s">
        <v>694</v>
      </c>
      <c r="Q29" s="24" t="s">
        <v>637</v>
      </c>
    </row>
    <row r="30" ht="96" customHeight="1" spans="1:17">
      <c r="A30" s="22" t="s">
        <v>667</v>
      </c>
      <c r="B30" s="22" t="s">
        <v>521</v>
      </c>
      <c r="C30" s="22" t="s">
        <v>192</v>
      </c>
      <c r="D30" s="22" t="s">
        <v>95</v>
      </c>
      <c r="E30" s="22" t="s">
        <v>477</v>
      </c>
      <c r="F30" s="22" t="s">
        <v>644</v>
      </c>
      <c r="G30" s="22" t="s">
        <v>469</v>
      </c>
      <c r="H30" s="23">
        <v>89.9</v>
      </c>
      <c r="I30" s="23">
        <v>97.25</v>
      </c>
      <c r="J30" s="23">
        <v>7.35</v>
      </c>
      <c r="K30" s="22" t="s">
        <v>632</v>
      </c>
      <c r="L30" s="22" t="s">
        <v>631</v>
      </c>
      <c r="M30" s="22" t="s">
        <v>695</v>
      </c>
      <c r="N30" s="22" t="s">
        <v>696</v>
      </c>
      <c r="O30" s="22" t="s">
        <v>697</v>
      </c>
      <c r="P30" s="24" t="s">
        <v>698</v>
      </c>
      <c r="Q30" s="24" t="s">
        <v>637</v>
      </c>
    </row>
    <row r="31" ht="96" customHeight="1" spans="1:17">
      <c r="A31" s="22" t="s">
        <v>667</v>
      </c>
      <c r="B31" s="22" t="s">
        <v>522</v>
      </c>
      <c r="C31" s="22" t="s">
        <v>192</v>
      </c>
      <c r="D31" s="22" t="s">
        <v>95</v>
      </c>
      <c r="E31" s="22" t="s">
        <v>477</v>
      </c>
      <c r="F31" s="22" t="s">
        <v>644</v>
      </c>
      <c r="G31" s="22" t="s">
        <v>471</v>
      </c>
      <c r="H31" s="23">
        <v>89.9</v>
      </c>
      <c r="I31" s="23">
        <v>96.75</v>
      </c>
      <c r="J31" s="23">
        <v>6.85</v>
      </c>
      <c r="K31" s="22" t="s">
        <v>632</v>
      </c>
      <c r="L31" s="22" t="s">
        <v>631</v>
      </c>
      <c r="M31" s="22" t="s">
        <v>699</v>
      </c>
      <c r="N31" s="22" t="s">
        <v>700</v>
      </c>
      <c r="O31" s="22" t="s">
        <v>701</v>
      </c>
      <c r="P31" s="24" t="s">
        <v>637</v>
      </c>
      <c r="Q31" s="24" t="s">
        <v>637</v>
      </c>
    </row>
    <row r="32" ht="96" customHeight="1" spans="1:17">
      <c r="A32" s="22" t="s">
        <v>630</v>
      </c>
      <c r="B32" s="22" t="s">
        <v>532</v>
      </c>
      <c r="C32" s="22" t="s">
        <v>210</v>
      </c>
      <c r="D32" s="22" t="s">
        <v>109</v>
      </c>
      <c r="E32" s="22" t="s">
        <v>473</v>
      </c>
      <c r="F32" s="22" t="s">
        <v>474</v>
      </c>
      <c r="G32" s="22" t="s">
        <v>471</v>
      </c>
      <c r="H32" s="23">
        <v>88.15</v>
      </c>
      <c r="I32" s="23">
        <v>84.8</v>
      </c>
      <c r="J32" s="23">
        <v>3.35</v>
      </c>
      <c r="K32" s="22" t="s">
        <v>631</v>
      </c>
      <c r="L32" s="22" t="s">
        <v>632</v>
      </c>
      <c r="M32" s="22" t="s">
        <v>702</v>
      </c>
      <c r="N32" s="22" t="s">
        <v>703</v>
      </c>
      <c r="O32" s="22" t="s">
        <v>704</v>
      </c>
      <c r="P32" s="24" t="s">
        <v>705</v>
      </c>
      <c r="Q32" s="24" t="s">
        <v>637</v>
      </c>
    </row>
  </sheetData>
  <mergeCells count="3">
    <mergeCell ref="A1:Q1"/>
    <mergeCell ref="A2:Q2"/>
    <mergeCell ref="A4:Q4"/>
  </mergeCells>
  <conditionalFormatting sqref="A13:A32">
    <cfRule type="expression" dxfId="1" priority="2">
      <formula>A13="P1"</formula>
    </cfRule>
    <cfRule type="expression" dxfId="0" priority="1">
      <formula>A13="P0"</formula>
    </cfRule>
  </conditionalFormatting>
  <conditionalFormatting sqref="J13:J32">
    <cfRule type="colorScale" priority="3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K13:L32">
    <cfRule type="expression" dxfId="3" priority="4">
      <formula>$K13&lt;&gt;$L13</formula>
    </cfRule>
  </conditionalFormatting>
  <dataValidations count="1">
    <dataValidation type="list" sqref="P13:P32">
      <formula1>"以ChatGPT为准,以Claude为准,分项调整,无需调整,暂不决定"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1"/>
  <sheetViews>
    <sheetView tabSelected="1" topLeftCell="AE1" workbookViewId="0">
      <pane ySplit="1" topLeftCell="A2" activePane="bottomLeft" state="frozen"/>
      <selection/>
      <selection pane="bottomLeft" activeCell="A1" sqref="A1"/>
    </sheetView>
  </sheetViews>
  <sheetFormatPr defaultColWidth="6.88235294117647" defaultRowHeight="16.8"/>
  <cols>
    <col min="1" max="1" width="7.64705882352941" style="9" customWidth="1"/>
    <col min="2" max="3" width="9.94117647058824" style="9" customWidth="1"/>
    <col min="4" max="4" width="13" style="9" customWidth="1"/>
    <col min="5" max="5" width="10.7058823529412" style="9" customWidth="1"/>
    <col min="6" max="6" width="6.88235294117647" style="9" customWidth="1"/>
    <col min="7" max="7" width="18.3529411764706" style="9" customWidth="1"/>
    <col min="8" max="8" width="9.17647058823529" style="9" customWidth="1"/>
    <col min="9" max="9" width="6.88235294117647" style="9" customWidth="1"/>
    <col min="10" max="11" width="9.94117647058824" style="9" customWidth="1"/>
    <col min="12" max="12" width="7.64705882352941" style="9" customWidth="1"/>
    <col min="13" max="13" width="6.11764705882353" style="9" customWidth="1"/>
    <col min="14" max="14" width="7.64705882352941" style="9" customWidth="1"/>
    <col min="15" max="15" width="9.94117647058824" style="9" customWidth="1"/>
    <col min="16" max="16" width="6.11764705882353" style="9" customWidth="1"/>
    <col min="17" max="17" width="6.88235294117647" style="9" customWidth="1"/>
    <col min="18" max="18" width="7.64705882352941" style="9" customWidth="1"/>
    <col min="19" max="19" width="8.41176470588235" style="9" customWidth="1"/>
    <col min="20" max="20" width="7.64705882352941" style="9" customWidth="1"/>
    <col min="21" max="25" width="9.94117647058824" style="9" customWidth="1"/>
    <col min="26" max="26" width="8.41176470588235" style="9" customWidth="1"/>
    <col min="27" max="27" width="9.94117647058824" style="9" customWidth="1"/>
    <col min="28" max="28" width="7.64705882352941" style="9" customWidth="1"/>
    <col min="29" max="30" width="9.94117647058824" style="9" customWidth="1"/>
    <col min="31" max="31" width="7.64705882352941" style="9" customWidth="1"/>
    <col min="32" max="33" width="9.94117647058824" style="9" customWidth="1"/>
    <col min="34" max="34" width="8.41176470588235" style="9" customWidth="1"/>
    <col min="35" max="35" width="9.17647058823529" style="9" customWidth="1"/>
    <col min="36" max="36" width="8.41176470588235" style="9" customWidth="1"/>
    <col min="37" max="37" width="7.64705882352941" style="9" customWidth="1"/>
    <col min="38" max="38" width="9.94117647058824" style="9" customWidth="1"/>
    <col min="39" max="39" width="21.4117647058824" style="9" customWidth="1"/>
    <col min="40" max="40" width="7.64705882352941" style="9" customWidth="1"/>
    <col min="41" max="45" width="9.94117647058824" style="9" customWidth="1"/>
    <col min="46" max="46" width="9.17647058823529" style="9" customWidth="1"/>
    <col min="47" max="48" width="9.94117647058824" style="9" customWidth="1"/>
    <col min="49" max="49" width="18.3529411764706" style="9" customWidth="1"/>
    <col min="50" max="16384" width="6.88235294117647" style="9"/>
  </cols>
  <sheetData>
    <row r="1" ht="36" customHeight="1" spans="1:49">
      <c r="A1" s="10" t="s">
        <v>420</v>
      </c>
      <c r="B1" s="10" t="s">
        <v>116</v>
      </c>
      <c r="C1" s="10" t="s">
        <v>39</v>
      </c>
      <c r="D1" s="10" t="s">
        <v>421</v>
      </c>
      <c r="E1" s="10" t="s">
        <v>422</v>
      </c>
      <c r="F1" s="10" t="s">
        <v>423</v>
      </c>
      <c r="G1" s="10" t="s">
        <v>424</v>
      </c>
      <c r="H1" s="10" t="s">
        <v>425</v>
      </c>
      <c r="I1" s="10" t="s">
        <v>426</v>
      </c>
      <c r="J1" s="10" t="s">
        <v>427</v>
      </c>
      <c r="K1" s="10" t="s">
        <v>428</v>
      </c>
      <c r="L1" s="10" t="s">
        <v>429</v>
      </c>
      <c r="M1" s="10" t="s">
        <v>430</v>
      </c>
      <c r="N1" s="10" t="s">
        <v>431</v>
      </c>
      <c r="O1" s="10" t="s">
        <v>432</v>
      </c>
      <c r="P1" s="10" t="s">
        <v>433</v>
      </c>
      <c r="Q1" s="10" t="s">
        <v>434</v>
      </c>
      <c r="R1" s="10" t="s">
        <v>435</v>
      </c>
      <c r="S1" s="10" t="s">
        <v>436</v>
      </c>
      <c r="T1" s="10" t="s">
        <v>437</v>
      </c>
      <c r="U1" s="10" t="s">
        <v>438</v>
      </c>
      <c r="V1" s="10" t="s">
        <v>439</v>
      </c>
      <c r="W1" s="10" t="s">
        <v>440</v>
      </c>
      <c r="X1" s="10" t="s">
        <v>441</v>
      </c>
      <c r="Y1" s="10" t="s">
        <v>442</v>
      </c>
      <c r="Z1" s="10" t="s">
        <v>443</v>
      </c>
      <c r="AA1" s="10" t="s">
        <v>444</v>
      </c>
      <c r="AB1" s="10" t="s">
        <v>445</v>
      </c>
      <c r="AC1" s="10" t="s">
        <v>446</v>
      </c>
      <c r="AD1" s="10" t="s">
        <v>447</v>
      </c>
      <c r="AE1" s="10" t="s">
        <v>448</v>
      </c>
      <c r="AF1" s="10" t="s">
        <v>449</v>
      </c>
      <c r="AG1" s="10" t="s">
        <v>450</v>
      </c>
      <c r="AH1" s="10" t="s">
        <v>451</v>
      </c>
      <c r="AI1" s="10" t="s">
        <v>452</v>
      </c>
      <c r="AJ1" s="10" t="s">
        <v>453</v>
      </c>
      <c r="AK1" s="10" t="s">
        <v>454</v>
      </c>
      <c r="AL1" s="10" t="s">
        <v>455</v>
      </c>
      <c r="AM1" s="10" t="s">
        <v>456</v>
      </c>
      <c r="AN1" s="10" t="s">
        <v>457</v>
      </c>
      <c r="AO1" s="10" t="s">
        <v>458</v>
      </c>
      <c r="AP1" s="10" t="s">
        <v>459</v>
      </c>
      <c r="AQ1" s="10" t="s">
        <v>460</v>
      </c>
      <c r="AR1" s="10" t="s">
        <v>461</v>
      </c>
      <c r="AS1" s="10" t="s">
        <v>462</v>
      </c>
      <c r="AT1" s="10" t="s">
        <v>463</v>
      </c>
      <c r="AU1" s="10" t="s">
        <v>464</v>
      </c>
      <c r="AV1" s="10" t="s">
        <v>465</v>
      </c>
      <c r="AW1" s="10" t="s">
        <v>125</v>
      </c>
    </row>
    <row r="2" ht="22" customHeight="1" spans="1:49">
      <c r="A2" s="11" t="s">
        <v>466</v>
      </c>
      <c r="B2" s="11" t="s">
        <v>126</v>
      </c>
      <c r="C2" s="11" t="s">
        <v>46</v>
      </c>
      <c r="D2" s="11" t="s">
        <v>467</v>
      </c>
      <c r="E2" s="11" t="s">
        <v>468</v>
      </c>
      <c r="F2" s="11" t="s">
        <v>469</v>
      </c>
      <c r="G2" s="11"/>
      <c r="H2" s="12" t="s">
        <v>706</v>
      </c>
      <c r="I2" s="13">
        <v>4</v>
      </c>
      <c r="J2" s="13">
        <v>4</v>
      </c>
      <c r="K2" s="13">
        <v>4</v>
      </c>
      <c r="L2" s="13">
        <v>3</v>
      </c>
      <c r="M2" s="14">
        <v>3.5</v>
      </c>
      <c r="N2" s="14">
        <v>3.5</v>
      </c>
      <c r="O2" s="13">
        <v>4</v>
      </c>
      <c r="P2" s="14">
        <v>3.5</v>
      </c>
      <c r="Q2" s="13">
        <v>4</v>
      </c>
      <c r="R2" s="14">
        <v>3.5</v>
      </c>
      <c r="S2" s="14">
        <v>38.475</v>
      </c>
      <c r="T2" s="13">
        <v>4</v>
      </c>
      <c r="U2" s="13">
        <v>4</v>
      </c>
      <c r="V2" s="13">
        <v>4</v>
      </c>
      <c r="W2" s="13">
        <v>4</v>
      </c>
      <c r="X2" s="13">
        <v>4</v>
      </c>
      <c r="Y2" s="13">
        <v>4</v>
      </c>
      <c r="Z2" s="14">
        <v>30</v>
      </c>
      <c r="AA2" s="13">
        <v>4</v>
      </c>
      <c r="AB2" s="13">
        <v>4</v>
      </c>
      <c r="AC2" s="13">
        <v>4</v>
      </c>
      <c r="AD2" s="14">
        <v>10</v>
      </c>
      <c r="AE2" s="13">
        <v>4</v>
      </c>
      <c r="AF2" s="13">
        <v>4</v>
      </c>
      <c r="AG2" s="13">
        <v>4</v>
      </c>
      <c r="AH2" s="14">
        <v>10</v>
      </c>
      <c r="AI2" s="13">
        <v>4</v>
      </c>
      <c r="AJ2" s="13">
        <v>3</v>
      </c>
      <c r="AK2" s="14">
        <v>4.5</v>
      </c>
      <c r="AL2" s="14">
        <v>92.975</v>
      </c>
      <c r="AM2" s="15"/>
      <c r="AN2" s="15" t="s">
        <v>707</v>
      </c>
      <c r="AO2" s="16" t="s">
        <v>708</v>
      </c>
      <c r="AP2" s="16" t="s">
        <v>708</v>
      </c>
      <c r="AQ2" s="16" t="s">
        <v>708</v>
      </c>
      <c r="AR2" s="16" t="s">
        <v>708</v>
      </c>
      <c r="AS2" s="16" t="s">
        <v>708</v>
      </c>
      <c r="AT2" s="16" t="s">
        <v>631</v>
      </c>
      <c r="AU2" s="15"/>
      <c r="AV2" s="15"/>
      <c r="AW2" s="17" t="s">
        <v>709</v>
      </c>
    </row>
    <row r="3" ht="22" customHeight="1" spans="1:49">
      <c r="A3" s="11" t="s">
        <v>470</v>
      </c>
      <c r="B3" s="11" t="s">
        <v>126</v>
      </c>
      <c r="C3" s="11" t="s">
        <v>46</v>
      </c>
      <c r="D3" s="11" t="s">
        <v>467</v>
      </c>
      <c r="E3" s="11" t="s">
        <v>468</v>
      </c>
      <c r="F3" s="11" t="s">
        <v>471</v>
      </c>
      <c r="G3" s="11"/>
      <c r="H3" s="12" t="s">
        <v>706</v>
      </c>
      <c r="I3" s="13">
        <v>4</v>
      </c>
      <c r="J3" s="13">
        <v>4</v>
      </c>
      <c r="K3" s="13">
        <v>4</v>
      </c>
      <c r="L3" s="13">
        <v>3</v>
      </c>
      <c r="M3" s="13">
        <v>4</v>
      </c>
      <c r="N3" s="14">
        <v>3.5</v>
      </c>
      <c r="O3" s="13">
        <v>4</v>
      </c>
      <c r="P3" s="14">
        <v>3.5</v>
      </c>
      <c r="Q3" s="13">
        <v>4</v>
      </c>
      <c r="R3" s="14">
        <v>3.5</v>
      </c>
      <c r="S3" s="14">
        <v>39.1</v>
      </c>
      <c r="T3" s="13">
        <v>4</v>
      </c>
      <c r="U3" s="13">
        <v>4</v>
      </c>
      <c r="V3" s="13">
        <v>4</v>
      </c>
      <c r="W3" s="13">
        <v>4</v>
      </c>
      <c r="X3" s="14">
        <v>3.5</v>
      </c>
      <c r="Y3" s="13">
        <v>4</v>
      </c>
      <c r="Z3" s="14">
        <v>29.5</v>
      </c>
      <c r="AA3" s="13">
        <v>4</v>
      </c>
      <c r="AB3" s="13">
        <v>4</v>
      </c>
      <c r="AC3" s="14">
        <v>3.5</v>
      </c>
      <c r="AD3" s="14">
        <v>9.625</v>
      </c>
      <c r="AE3" s="13">
        <v>4</v>
      </c>
      <c r="AF3" s="13">
        <v>4</v>
      </c>
      <c r="AG3" s="13">
        <v>4</v>
      </c>
      <c r="AH3" s="14">
        <v>10</v>
      </c>
      <c r="AI3" s="13">
        <v>4</v>
      </c>
      <c r="AJ3" s="13">
        <v>3</v>
      </c>
      <c r="AK3" s="14">
        <v>4.5</v>
      </c>
      <c r="AL3" s="14">
        <v>92.725</v>
      </c>
      <c r="AM3" s="15"/>
      <c r="AN3" s="15" t="s">
        <v>707</v>
      </c>
      <c r="AO3" s="16" t="s">
        <v>708</v>
      </c>
      <c r="AP3" s="16" t="s">
        <v>708</v>
      </c>
      <c r="AQ3" s="16" t="s">
        <v>708</v>
      </c>
      <c r="AR3" s="16" t="s">
        <v>708</v>
      </c>
      <c r="AS3" s="16" t="s">
        <v>708</v>
      </c>
      <c r="AT3" s="16" t="s">
        <v>631</v>
      </c>
      <c r="AU3" s="15"/>
      <c r="AV3" s="15"/>
      <c r="AW3" s="17" t="s">
        <v>709</v>
      </c>
    </row>
    <row r="4" ht="22" customHeight="1" spans="1:49">
      <c r="A4" s="11" t="s">
        <v>472</v>
      </c>
      <c r="B4" s="11" t="s">
        <v>126</v>
      </c>
      <c r="C4" s="11" t="s">
        <v>46</v>
      </c>
      <c r="D4" s="11" t="s">
        <v>473</v>
      </c>
      <c r="E4" s="11" t="s">
        <v>474</v>
      </c>
      <c r="F4" s="11" t="s">
        <v>469</v>
      </c>
      <c r="G4" s="11"/>
      <c r="H4" s="12" t="s">
        <v>706</v>
      </c>
      <c r="I4" s="13">
        <v>4</v>
      </c>
      <c r="J4" s="13">
        <v>3</v>
      </c>
      <c r="K4" s="13">
        <v>4</v>
      </c>
      <c r="L4" s="13">
        <v>2</v>
      </c>
      <c r="M4" s="13">
        <v>4</v>
      </c>
      <c r="N4" s="14">
        <v>3.5</v>
      </c>
      <c r="O4" s="13">
        <v>3</v>
      </c>
      <c r="P4" s="14">
        <v>3.5</v>
      </c>
      <c r="Q4" s="13">
        <v>4</v>
      </c>
      <c r="R4" s="13">
        <v>2</v>
      </c>
      <c r="S4" s="14">
        <v>34.55</v>
      </c>
      <c r="T4" s="13">
        <v>4</v>
      </c>
      <c r="U4" s="13">
        <v>4</v>
      </c>
      <c r="V4" s="13">
        <v>4</v>
      </c>
      <c r="W4" s="13">
        <v>4</v>
      </c>
      <c r="X4" s="14">
        <v>3.5</v>
      </c>
      <c r="Y4" s="13">
        <v>4</v>
      </c>
      <c r="Z4" s="14">
        <v>29.5</v>
      </c>
      <c r="AA4" s="14">
        <v>3.5</v>
      </c>
      <c r="AB4" s="13">
        <v>3</v>
      </c>
      <c r="AC4" s="14">
        <v>3.5</v>
      </c>
      <c r="AD4" s="14">
        <v>8.375</v>
      </c>
      <c r="AE4" s="13">
        <v>4</v>
      </c>
      <c r="AF4" s="13">
        <v>4</v>
      </c>
      <c r="AG4" s="14">
        <v>3.5</v>
      </c>
      <c r="AH4" s="14">
        <v>9.625</v>
      </c>
      <c r="AI4" s="13">
        <v>4</v>
      </c>
      <c r="AJ4" s="14">
        <v>3.5</v>
      </c>
      <c r="AK4" s="14">
        <v>4.75</v>
      </c>
      <c r="AL4" s="14">
        <v>86.8</v>
      </c>
      <c r="AM4" s="15"/>
      <c r="AN4" s="15" t="s">
        <v>707</v>
      </c>
      <c r="AO4" s="18" t="s">
        <v>710</v>
      </c>
      <c r="AP4" s="16" t="s">
        <v>708</v>
      </c>
      <c r="AQ4" s="16" t="s">
        <v>708</v>
      </c>
      <c r="AR4" s="16" t="s">
        <v>708</v>
      </c>
      <c r="AS4" s="16" t="s">
        <v>708</v>
      </c>
      <c r="AT4" s="18" t="s">
        <v>632</v>
      </c>
      <c r="AU4" s="15"/>
      <c r="AV4" s="15"/>
      <c r="AW4" s="17" t="s">
        <v>711</v>
      </c>
    </row>
    <row r="5" ht="22" customHeight="1" spans="1:49">
      <c r="A5" s="11" t="s">
        <v>475</v>
      </c>
      <c r="B5" s="11" t="s">
        <v>126</v>
      </c>
      <c r="C5" s="11" t="s">
        <v>46</v>
      </c>
      <c r="D5" s="11" t="s">
        <v>473</v>
      </c>
      <c r="E5" s="11" t="s">
        <v>474</v>
      </c>
      <c r="F5" s="11" t="s">
        <v>471</v>
      </c>
      <c r="G5" s="11"/>
      <c r="H5" s="12" t="s">
        <v>706</v>
      </c>
      <c r="I5" s="13">
        <v>4</v>
      </c>
      <c r="J5" s="14">
        <v>3.5</v>
      </c>
      <c r="K5" s="13">
        <v>4</v>
      </c>
      <c r="L5" s="13">
        <v>3</v>
      </c>
      <c r="M5" s="13">
        <v>4</v>
      </c>
      <c r="N5" s="14">
        <v>3.5</v>
      </c>
      <c r="O5" s="13">
        <v>3</v>
      </c>
      <c r="P5" s="14">
        <v>3.5</v>
      </c>
      <c r="Q5" s="13">
        <v>4</v>
      </c>
      <c r="R5" s="13">
        <v>3</v>
      </c>
      <c r="S5" s="14">
        <v>37.45</v>
      </c>
      <c r="T5" s="13">
        <v>4</v>
      </c>
      <c r="U5" s="13">
        <v>4</v>
      </c>
      <c r="V5" s="13">
        <v>4</v>
      </c>
      <c r="W5" s="13">
        <v>4</v>
      </c>
      <c r="X5" s="13">
        <v>4</v>
      </c>
      <c r="Y5" s="13">
        <v>4</v>
      </c>
      <c r="Z5" s="14">
        <v>30</v>
      </c>
      <c r="AA5" s="14">
        <v>3.5</v>
      </c>
      <c r="AB5" s="14">
        <v>3.5</v>
      </c>
      <c r="AC5" s="14">
        <v>3.5</v>
      </c>
      <c r="AD5" s="14">
        <v>8.75</v>
      </c>
      <c r="AE5" s="13">
        <v>4</v>
      </c>
      <c r="AF5" s="13">
        <v>4</v>
      </c>
      <c r="AG5" s="14">
        <v>3.5</v>
      </c>
      <c r="AH5" s="14">
        <v>9.625</v>
      </c>
      <c r="AI5" s="13">
        <v>4</v>
      </c>
      <c r="AJ5" s="13">
        <v>3</v>
      </c>
      <c r="AK5" s="14">
        <v>4.5</v>
      </c>
      <c r="AL5" s="14">
        <v>90.325</v>
      </c>
      <c r="AM5" s="15"/>
      <c r="AN5" s="15" t="s">
        <v>707</v>
      </c>
      <c r="AO5" s="16" t="s">
        <v>708</v>
      </c>
      <c r="AP5" s="16" t="s">
        <v>708</v>
      </c>
      <c r="AQ5" s="16" t="s">
        <v>708</v>
      </c>
      <c r="AR5" s="16" t="s">
        <v>708</v>
      </c>
      <c r="AS5" s="16" t="s">
        <v>708</v>
      </c>
      <c r="AT5" s="16" t="s">
        <v>631</v>
      </c>
      <c r="AU5" s="15"/>
      <c r="AV5" s="15"/>
      <c r="AW5" s="17" t="s">
        <v>637</v>
      </c>
    </row>
    <row r="6" ht="22" customHeight="1" spans="1:49">
      <c r="A6" s="11" t="s">
        <v>476</v>
      </c>
      <c r="B6" s="11" t="s">
        <v>126</v>
      </c>
      <c r="C6" s="11" t="s">
        <v>46</v>
      </c>
      <c r="D6" s="11" t="s">
        <v>477</v>
      </c>
      <c r="E6" s="11">
        <v>2.5</v>
      </c>
      <c r="F6" s="11" t="s">
        <v>469</v>
      </c>
      <c r="G6" s="11"/>
      <c r="H6" s="12" t="s">
        <v>706</v>
      </c>
      <c r="I6" s="13">
        <v>3</v>
      </c>
      <c r="J6" s="13">
        <v>4</v>
      </c>
      <c r="K6" s="13">
        <v>4</v>
      </c>
      <c r="L6" s="14">
        <v>3.5</v>
      </c>
      <c r="M6" s="14">
        <v>3.5</v>
      </c>
      <c r="N6" s="14">
        <v>3.5</v>
      </c>
      <c r="O6" s="13">
        <v>4</v>
      </c>
      <c r="P6" s="13">
        <v>4</v>
      </c>
      <c r="Q6" s="13">
        <v>4</v>
      </c>
      <c r="R6" s="13">
        <v>4</v>
      </c>
      <c r="S6" s="14">
        <v>39.425</v>
      </c>
      <c r="T6" s="13">
        <v>4</v>
      </c>
      <c r="U6" s="13">
        <v>4</v>
      </c>
      <c r="V6" s="13">
        <v>4</v>
      </c>
      <c r="W6" s="13">
        <v>4</v>
      </c>
      <c r="X6" s="13">
        <v>4</v>
      </c>
      <c r="Y6" s="13">
        <v>4</v>
      </c>
      <c r="Z6" s="14">
        <v>30</v>
      </c>
      <c r="AA6" s="13">
        <v>1</v>
      </c>
      <c r="AB6" s="14">
        <v>3.5</v>
      </c>
      <c r="AC6" s="13">
        <v>4</v>
      </c>
      <c r="AD6" s="14">
        <v>6.625</v>
      </c>
      <c r="AE6" s="13">
        <v>4</v>
      </c>
      <c r="AF6" s="13">
        <v>4</v>
      </c>
      <c r="AG6" s="13">
        <v>4</v>
      </c>
      <c r="AH6" s="14">
        <v>10</v>
      </c>
      <c r="AI6" s="13">
        <v>4</v>
      </c>
      <c r="AJ6" s="13">
        <v>3</v>
      </c>
      <c r="AK6" s="14">
        <v>4.5</v>
      </c>
      <c r="AL6" s="14">
        <v>90.55</v>
      </c>
      <c r="AM6" s="15"/>
      <c r="AN6" s="15" t="s">
        <v>707</v>
      </c>
      <c r="AO6" s="16" t="s">
        <v>708</v>
      </c>
      <c r="AP6" s="16" t="s">
        <v>708</v>
      </c>
      <c r="AQ6" s="18" t="s">
        <v>710</v>
      </c>
      <c r="AR6" s="16" t="s">
        <v>708</v>
      </c>
      <c r="AS6" s="16" t="s">
        <v>708</v>
      </c>
      <c r="AT6" s="18" t="s">
        <v>632</v>
      </c>
      <c r="AU6" s="15"/>
      <c r="AV6" s="15"/>
      <c r="AW6" s="17" t="s">
        <v>712</v>
      </c>
    </row>
    <row r="7" ht="22" customHeight="1" spans="1:49">
      <c r="A7" s="11" t="s">
        <v>478</v>
      </c>
      <c r="B7" s="11" t="s">
        <v>126</v>
      </c>
      <c r="C7" s="11" t="s">
        <v>46</v>
      </c>
      <c r="D7" s="11" t="s">
        <v>477</v>
      </c>
      <c r="E7" s="11">
        <v>2.5</v>
      </c>
      <c r="F7" s="11" t="s">
        <v>471</v>
      </c>
      <c r="G7" s="11"/>
      <c r="H7" s="12" t="s">
        <v>706</v>
      </c>
      <c r="I7" s="13">
        <v>3</v>
      </c>
      <c r="J7" s="13">
        <v>4</v>
      </c>
      <c r="K7" s="13">
        <v>4</v>
      </c>
      <c r="L7" s="14">
        <v>3.5</v>
      </c>
      <c r="M7" s="14">
        <v>3.5</v>
      </c>
      <c r="N7" s="14">
        <v>3.5</v>
      </c>
      <c r="O7" s="13">
        <v>4</v>
      </c>
      <c r="P7" s="13">
        <v>4</v>
      </c>
      <c r="Q7" s="13">
        <v>4</v>
      </c>
      <c r="R7" s="13">
        <v>4</v>
      </c>
      <c r="S7" s="14">
        <v>39.425</v>
      </c>
      <c r="T7" s="13">
        <v>4</v>
      </c>
      <c r="U7" s="13">
        <v>4</v>
      </c>
      <c r="V7" s="13">
        <v>4</v>
      </c>
      <c r="W7" s="13">
        <v>4</v>
      </c>
      <c r="X7" s="13">
        <v>4</v>
      </c>
      <c r="Y7" s="13">
        <v>4</v>
      </c>
      <c r="Z7" s="14">
        <v>30</v>
      </c>
      <c r="AA7" s="13">
        <v>1</v>
      </c>
      <c r="AB7" s="14">
        <v>3.5</v>
      </c>
      <c r="AC7" s="13">
        <v>4</v>
      </c>
      <c r="AD7" s="14">
        <v>6.625</v>
      </c>
      <c r="AE7" s="13">
        <v>4</v>
      </c>
      <c r="AF7" s="13">
        <v>4</v>
      </c>
      <c r="AG7" s="13">
        <v>4</v>
      </c>
      <c r="AH7" s="14">
        <v>10</v>
      </c>
      <c r="AI7" s="13">
        <v>4</v>
      </c>
      <c r="AJ7" s="13">
        <v>3</v>
      </c>
      <c r="AK7" s="14">
        <v>4.5</v>
      </c>
      <c r="AL7" s="14">
        <v>90.55</v>
      </c>
      <c r="AM7" s="15"/>
      <c r="AN7" s="15" t="s">
        <v>707</v>
      </c>
      <c r="AO7" s="16" t="s">
        <v>708</v>
      </c>
      <c r="AP7" s="16" t="s">
        <v>708</v>
      </c>
      <c r="AQ7" s="18" t="s">
        <v>710</v>
      </c>
      <c r="AR7" s="16" t="s">
        <v>708</v>
      </c>
      <c r="AS7" s="16" t="s">
        <v>708</v>
      </c>
      <c r="AT7" s="18" t="s">
        <v>632</v>
      </c>
      <c r="AU7" s="15"/>
      <c r="AV7" s="15"/>
      <c r="AW7" s="17" t="s">
        <v>713</v>
      </c>
    </row>
    <row r="8" ht="22" customHeight="1" spans="1:49">
      <c r="A8" s="11" t="s">
        <v>479</v>
      </c>
      <c r="B8" s="11" t="s">
        <v>136</v>
      </c>
      <c r="C8" s="11" t="s">
        <v>53</v>
      </c>
      <c r="D8" s="11" t="s">
        <v>467</v>
      </c>
      <c r="E8" s="11" t="s">
        <v>468</v>
      </c>
      <c r="F8" s="11" t="s">
        <v>469</v>
      </c>
      <c r="G8" s="11"/>
      <c r="H8" s="12" t="s">
        <v>706</v>
      </c>
      <c r="I8" s="13">
        <v>4</v>
      </c>
      <c r="J8" s="14">
        <v>4.5</v>
      </c>
      <c r="K8" s="14">
        <v>4.5</v>
      </c>
      <c r="L8" s="14">
        <v>3.5</v>
      </c>
      <c r="M8" s="14">
        <v>3.5</v>
      </c>
      <c r="N8" s="13">
        <v>4</v>
      </c>
      <c r="O8" s="14">
        <v>3.5</v>
      </c>
      <c r="P8" s="13">
        <v>4</v>
      </c>
      <c r="Q8" s="14">
        <v>3.5</v>
      </c>
      <c r="R8" s="13">
        <v>4</v>
      </c>
      <c r="S8" s="14">
        <v>40.775</v>
      </c>
      <c r="T8" s="13">
        <v>4</v>
      </c>
      <c r="U8" s="13">
        <v>4</v>
      </c>
      <c r="V8" s="13">
        <v>4</v>
      </c>
      <c r="W8" s="13">
        <v>4</v>
      </c>
      <c r="X8" s="13">
        <v>4</v>
      </c>
      <c r="Y8" s="13">
        <v>4</v>
      </c>
      <c r="Z8" s="14">
        <v>30</v>
      </c>
      <c r="AA8" s="13">
        <v>4</v>
      </c>
      <c r="AB8" s="13">
        <v>4</v>
      </c>
      <c r="AC8" s="13">
        <v>4</v>
      </c>
      <c r="AD8" s="14">
        <v>10</v>
      </c>
      <c r="AE8" s="13">
        <v>4</v>
      </c>
      <c r="AF8" s="13">
        <v>4</v>
      </c>
      <c r="AG8" s="13">
        <v>4</v>
      </c>
      <c r="AH8" s="14">
        <v>10</v>
      </c>
      <c r="AI8" s="13">
        <v>4</v>
      </c>
      <c r="AJ8" s="14">
        <v>3.5</v>
      </c>
      <c r="AK8" s="14">
        <v>4.75</v>
      </c>
      <c r="AL8" s="14">
        <v>95.525</v>
      </c>
      <c r="AM8" s="15"/>
      <c r="AN8" s="15" t="s">
        <v>707</v>
      </c>
      <c r="AO8" s="16" t="s">
        <v>708</v>
      </c>
      <c r="AP8" s="16" t="s">
        <v>708</v>
      </c>
      <c r="AQ8" s="16" t="s">
        <v>708</v>
      </c>
      <c r="AR8" s="16" t="s">
        <v>708</v>
      </c>
      <c r="AS8" s="16" t="s">
        <v>708</v>
      </c>
      <c r="AT8" s="16" t="s">
        <v>631</v>
      </c>
      <c r="AU8" s="15"/>
      <c r="AV8" s="15"/>
      <c r="AW8" s="17" t="s">
        <v>714</v>
      </c>
    </row>
    <row r="9" ht="22" customHeight="1" spans="1:49">
      <c r="A9" s="11" t="s">
        <v>480</v>
      </c>
      <c r="B9" s="11" t="s">
        <v>136</v>
      </c>
      <c r="C9" s="11" t="s">
        <v>53</v>
      </c>
      <c r="D9" s="11" t="s">
        <v>467</v>
      </c>
      <c r="E9" s="11" t="s">
        <v>468</v>
      </c>
      <c r="F9" s="11" t="s">
        <v>471</v>
      </c>
      <c r="G9" s="11"/>
      <c r="H9" s="12" t="s">
        <v>706</v>
      </c>
      <c r="I9" s="14">
        <v>4.5</v>
      </c>
      <c r="J9" s="14">
        <v>4.5</v>
      </c>
      <c r="K9" s="14">
        <v>4.5</v>
      </c>
      <c r="L9" s="13">
        <v>4</v>
      </c>
      <c r="M9" s="13">
        <v>4</v>
      </c>
      <c r="N9" s="13">
        <v>4</v>
      </c>
      <c r="O9" s="14">
        <v>3.5</v>
      </c>
      <c r="P9" s="13">
        <v>4</v>
      </c>
      <c r="Q9" s="13">
        <v>4</v>
      </c>
      <c r="R9" s="13">
        <v>4</v>
      </c>
      <c r="S9" s="14">
        <v>43.3</v>
      </c>
      <c r="T9" s="13">
        <v>4</v>
      </c>
      <c r="U9" s="13">
        <v>4</v>
      </c>
      <c r="V9" s="13">
        <v>4</v>
      </c>
      <c r="W9" s="13">
        <v>4</v>
      </c>
      <c r="X9" s="13">
        <v>4</v>
      </c>
      <c r="Y9" s="13">
        <v>4</v>
      </c>
      <c r="Z9" s="14">
        <v>30</v>
      </c>
      <c r="AA9" s="13">
        <v>4</v>
      </c>
      <c r="AB9" s="13">
        <v>4</v>
      </c>
      <c r="AC9" s="13">
        <v>4</v>
      </c>
      <c r="AD9" s="14">
        <v>10</v>
      </c>
      <c r="AE9" s="13">
        <v>4</v>
      </c>
      <c r="AF9" s="13">
        <v>4</v>
      </c>
      <c r="AG9" s="13">
        <v>4</v>
      </c>
      <c r="AH9" s="14">
        <v>10</v>
      </c>
      <c r="AI9" s="13">
        <v>4</v>
      </c>
      <c r="AJ9" s="14">
        <v>3.5</v>
      </c>
      <c r="AK9" s="14">
        <v>4.75</v>
      </c>
      <c r="AL9" s="14">
        <v>98.05</v>
      </c>
      <c r="AM9" s="15"/>
      <c r="AN9" s="15" t="s">
        <v>707</v>
      </c>
      <c r="AO9" s="16" t="s">
        <v>708</v>
      </c>
      <c r="AP9" s="16" t="s">
        <v>708</v>
      </c>
      <c r="AQ9" s="16" t="s">
        <v>708</v>
      </c>
      <c r="AR9" s="16" t="s">
        <v>708</v>
      </c>
      <c r="AS9" s="16" t="s">
        <v>708</v>
      </c>
      <c r="AT9" s="16" t="s">
        <v>631</v>
      </c>
      <c r="AU9" s="15"/>
      <c r="AV9" s="15"/>
      <c r="AW9" s="17" t="s">
        <v>637</v>
      </c>
    </row>
    <row r="10" ht="22" customHeight="1" spans="1:49">
      <c r="A10" s="11" t="s">
        <v>481</v>
      </c>
      <c r="B10" s="11" t="s">
        <v>136</v>
      </c>
      <c r="C10" s="11" t="s">
        <v>53</v>
      </c>
      <c r="D10" s="11" t="s">
        <v>473</v>
      </c>
      <c r="E10" s="11" t="s">
        <v>474</v>
      </c>
      <c r="F10" s="11" t="s">
        <v>469</v>
      </c>
      <c r="G10" s="11"/>
      <c r="H10" s="12" t="s">
        <v>706</v>
      </c>
      <c r="I10" s="13">
        <v>3</v>
      </c>
      <c r="J10" s="13">
        <v>5</v>
      </c>
      <c r="K10" s="13">
        <v>3</v>
      </c>
      <c r="L10" s="13">
        <v>3</v>
      </c>
      <c r="M10" s="13">
        <v>4</v>
      </c>
      <c r="N10" s="13">
        <v>4</v>
      </c>
      <c r="O10" s="13">
        <v>3</v>
      </c>
      <c r="P10" s="13">
        <v>4</v>
      </c>
      <c r="Q10" s="13">
        <v>3</v>
      </c>
      <c r="R10" s="13">
        <v>4</v>
      </c>
      <c r="S10" s="14">
        <v>37.8</v>
      </c>
      <c r="T10" s="13">
        <v>4</v>
      </c>
      <c r="U10" s="13">
        <v>4</v>
      </c>
      <c r="V10" s="13">
        <v>4</v>
      </c>
      <c r="W10" s="13">
        <v>4</v>
      </c>
      <c r="X10" s="13">
        <v>4</v>
      </c>
      <c r="Y10" s="13">
        <v>4</v>
      </c>
      <c r="Z10" s="14">
        <v>30</v>
      </c>
      <c r="AA10" s="14">
        <v>3.5</v>
      </c>
      <c r="AB10" s="14">
        <v>3.5</v>
      </c>
      <c r="AC10" s="13">
        <v>3</v>
      </c>
      <c r="AD10" s="14">
        <v>8.375</v>
      </c>
      <c r="AE10" s="13">
        <v>4</v>
      </c>
      <c r="AF10" s="13">
        <v>4</v>
      </c>
      <c r="AG10" s="14">
        <v>3.5</v>
      </c>
      <c r="AH10" s="14">
        <v>9.625</v>
      </c>
      <c r="AI10" s="13">
        <v>4</v>
      </c>
      <c r="AJ10" s="14">
        <v>3.5</v>
      </c>
      <c r="AK10" s="14">
        <v>4.75</v>
      </c>
      <c r="AL10" s="14">
        <v>90.55</v>
      </c>
      <c r="AM10" s="15"/>
      <c r="AN10" s="15" t="s">
        <v>707</v>
      </c>
      <c r="AO10" s="16" t="s">
        <v>708</v>
      </c>
      <c r="AP10" s="16" t="s">
        <v>708</v>
      </c>
      <c r="AQ10" s="16" t="s">
        <v>708</v>
      </c>
      <c r="AR10" s="16" t="s">
        <v>708</v>
      </c>
      <c r="AS10" s="16" t="s">
        <v>708</v>
      </c>
      <c r="AT10" s="16" t="s">
        <v>631</v>
      </c>
      <c r="AU10" s="15"/>
      <c r="AV10" s="15"/>
      <c r="AW10" s="17" t="s">
        <v>637</v>
      </c>
    </row>
    <row r="11" ht="22" customHeight="1" spans="1:49">
      <c r="A11" s="11" t="s">
        <v>483</v>
      </c>
      <c r="B11" s="11" t="s">
        <v>136</v>
      </c>
      <c r="C11" s="11" t="s">
        <v>53</v>
      </c>
      <c r="D11" s="11" t="s">
        <v>473</v>
      </c>
      <c r="E11" s="11" t="s">
        <v>474</v>
      </c>
      <c r="F11" s="11" t="s">
        <v>471</v>
      </c>
      <c r="G11" s="11"/>
      <c r="H11" s="12" t="s">
        <v>706</v>
      </c>
      <c r="I11" s="13">
        <v>3</v>
      </c>
      <c r="J11" s="13">
        <v>5</v>
      </c>
      <c r="K11" s="13">
        <v>3</v>
      </c>
      <c r="L11" s="13">
        <v>3</v>
      </c>
      <c r="M11" s="13">
        <v>4</v>
      </c>
      <c r="N11" s="13">
        <v>4</v>
      </c>
      <c r="O11" s="13">
        <v>3</v>
      </c>
      <c r="P11" s="13">
        <v>4</v>
      </c>
      <c r="Q11" s="13">
        <v>3</v>
      </c>
      <c r="R11" s="13">
        <v>4</v>
      </c>
      <c r="S11" s="14">
        <v>37.8</v>
      </c>
      <c r="T11" s="13">
        <v>4</v>
      </c>
      <c r="U11" s="13">
        <v>4</v>
      </c>
      <c r="V11" s="13">
        <v>4</v>
      </c>
      <c r="W11" s="13">
        <v>4</v>
      </c>
      <c r="X11" s="14">
        <v>3.5</v>
      </c>
      <c r="Y11" s="14">
        <v>3.5</v>
      </c>
      <c r="Z11" s="14">
        <v>29.125</v>
      </c>
      <c r="AA11" s="14">
        <v>3.5</v>
      </c>
      <c r="AB11" s="14">
        <v>3.5</v>
      </c>
      <c r="AC11" s="13">
        <v>3</v>
      </c>
      <c r="AD11" s="14">
        <v>8.375</v>
      </c>
      <c r="AE11" s="13">
        <v>4</v>
      </c>
      <c r="AF11" s="13">
        <v>4</v>
      </c>
      <c r="AG11" s="14">
        <v>3.5</v>
      </c>
      <c r="AH11" s="14">
        <v>9.625</v>
      </c>
      <c r="AI11" s="13">
        <v>4</v>
      </c>
      <c r="AJ11" s="14">
        <v>3.5</v>
      </c>
      <c r="AK11" s="14">
        <v>4.75</v>
      </c>
      <c r="AL11" s="14">
        <v>89.675</v>
      </c>
      <c r="AM11" s="15"/>
      <c r="AN11" s="15" t="s">
        <v>707</v>
      </c>
      <c r="AO11" s="16" t="s">
        <v>708</v>
      </c>
      <c r="AP11" s="16" t="s">
        <v>708</v>
      </c>
      <c r="AQ11" s="16" t="s">
        <v>708</v>
      </c>
      <c r="AR11" s="16" t="s">
        <v>708</v>
      </c>
      <c r="AS11" s="16" t="s">
        <v>708</v>
      </c>
      <c r="AT11" s="16" t="s">
        <v>631</v>
      </c>
      <c r="AU11" s="15"/>
      <c r="AV11" s="15"/>
      <c r="AW11" s="17" t="s">
        <v>637</v>
      </c>
    </row>
    <row r="12" ht="22" customHeight="1" spans="1:49">
      <c r="A12" s="11" t="s">
        <v>484</v>
      </c>
      <c r="B12" s="11" t="s">
        <v>136</v>
      </c>
      <c r="C12" s="11" t="s">
        <v>53</v>
      </c>
      <c r="D12" s="11" t="s">
        <v>477</v>
      </c>
      <c r="E12" s="11">
        <v>2.5</v>
      </c>
      <c r="F12" s="11" t="s">
        <v>469</v>
      </c>
      <c r="G12" s="11"/>
      <c r="H12" s="12" t="s">
        <v>706</v>
      </c>
      <c r="I12" s="13">
        <v>5</v>
      </c>
      <c r="J12" s="14">
        <v>4.5</v>
      </c>
      <c r="K12" s="14">
        <v>4.5</v>
      </c>
      <c r="L12" s="13">
        <v>4</v>
      </c>
      <c r="M12" s="13">
        <v>4</v>
      </c>
      <c r="N12" s="13">
        <v>4</v>
      </c>
      <c r="O12" s="13">
        <v>4</v>
      </c>
      <c r="P12" s="13">
        <v>4</v>
      </c>
      <c r="Q12" s="13">
        <v>4</v>
      </c>
      <c r="R12" s="13">
        <v>3</v>
      </c>
      <c r="S12" s="14">
        <v>43.7</v>
      </c>
      <c r="T12" s="13">
        <v>4</v>
      </c>
      <c r="U12" s="13">
        <v>2</v>
      </c>
      <c r="V12" s="13">
        <v>4</v>
      </c>
      <c r="W12" s="13">
        <v>4</v>
      </c>
      <c r="X12" s="13">
        <v>4</v>
      </c>
      <c r="Y12" s="13">
        <v>4</v>
      </c>
      <c r="Z12" s="14">
        <v>27</v>
      </c>
      <c r="AA12" s="13">
        <v>1</v>
      </c>
      <c r="AB12" s="14">
        <v>3.5</v>
      </c>
      <c r="AC12" s="13">
        <v>4</v>
      </c>
      <c r="AD12" s="14">
        <v>6.625</v>
      </c>
      <c r="AE12" s="13">
        <v>4</v>
      </c>
      <c r="AF12" s="13">
        <v>4</v>
      </c>
      <c r="AG12" s="13">
        <v>4</v>
      </c>
      <c r="AH12" s="14">
        <v>10</v>
      </c>
      <c r="AI12" s="13">
        <v>4</v>
      </c>
      <c r="AJ12" s="13">
        <v>3</v>
      </c>
      <c r="AK12" s="14">
        <v>4.5</v>
      </c>
      <c r="AL12" s="14">
        <v>91.825</v>
      </c>
      <c r="AM12" s="15"/>
      <c r="AN12" s="15" t="s">
        <v>707</v>
      </c>
      <c r="AO12" s="16" t="s">
        <v>708</v>
      </c>
      <c r="AP12" s="16" t="s">
        <v>708</v>
      </c>
      <c r="AQ12" s="18" t="s">
        <v>710</v>
      </c>
      <c r="AR12" s="16" t="s">
        <v>708</v>
      </c>
      <c r="AS12" s="16" t="s">
        <v>708</v>
      </c>
      <c r="AT12" s="18" t="s">
        <v>632</v>
      </c>
      <c r="AU12" s="15"/>
      <c r="AV12" s="15"/>
      <c r="AW12" s="17" t="s">
        <v>715</v>
      </c>
    </row>
    <row r="13" ht="22" customHeight="1" spans="1:49">
      <c r="A13" s="11" t="s">
        <v>485</v>
      </c>
      <c r="B13" s="11" t="s">
        <v>136</v>
      </c>
      <c r="C13" s="11" t="s">
        <v>53</v>
      </c>
      <c r="D13" s="11" t="s">
        <v>477</v>
      </c>
      <c r="E13" s="11">
        <v>2.5</v>
      </c>
      <c r="F13" s="11" t="s">
        <v>471</v>
      </c>
      <c r="G13" s="11"/>
      <c r="H13" s="12" t="s">
        <v>706</v>
      </c>
      <c r="I13" s="13">
        <v>5</v>
      </c>
      <c r="J13" s="14">
        <v>4.5</v>
      </c>
      <c r="K13" s="14">
        <v>4.5</v>
      </c>
      <c r="L13" s="13">
        <v>4</v>
      </c>
      <c r="M13" s="13">
        <v>4</v>
      </c>
      <c r="N13" s="13">
        <v>4</v>
      </c>
      <c r="O13" s="13">
        <v>4</v>
      </c>
      <c r="P13" s="13">
        <v>4</v>
      </c>
      <c r="Q13" s="13">
        <v>4</v>
      </c>
      <c r="R13" s="14">
        <v>3.5</v>
      </c>
      <c r="S13" s="14">
        <v>43.95</v>
      </c>
      <c r="T13" s="13">
        <v>4</v>
      </c>
      <c r="U13" s="13">
        <v>2</v>
      </c>
      <c r="V13" s="13">
        <v>4</v>
      </c>
      <c r="W13" s="13">
        <v>4</v>
      </c>
      <c r="X13" s="13">
        <v>4</v>
      </c>
      <c r="Y13" s="13">
        <v>4</v>
      </c>
      <c r="Z13" s="14">
        <v>27</v>
      </c>
      <c r="AA13" s="13">
        <v>1</v>
      </c>
      <c r="AB13" s="14">
        <v>3.5</v>
      </c>
      <c r="AC13" s="13">
        <v>4</v>
      </c>
      <c r="AD13" s="14">
        <v>6.625</v>
      </c>
      <c r="AE13" s="13">
        <v>4</v>
      </c>
      <c r="AF13" s="13">
        <v>4</v>
      </c>
      <c r="AG13" s="13">
        <v>4</v>
      </c>
      <c r="AH13" s="14">
        <v>10</v>
      </c>
      <c r="AI13" s="13">
        <v>4</v>
      </c>
      <c r="AJ13" s="13">
        <v>3</v>
      </c>
      <c r="AK13" s="14">
        <v>4.5</v>
      </c>
      <c r="AL13" s="14">
        <v>92.075</v>
      </c>
      <c r="AM13" s="15"/>
      <c r="AN13" s="15" t="s">
        <v>707</v>
      </c>
      <c r="AO13" s="16" t="s">
        <v>708</v>
      </c>
      <c r="AP13" s="16" t="s">
        <v>708</v>
      </c>
      <c r="AQ13" s="18" t="s">
        <v>710</v>
      </c>
      <c r="AR13" s="16" t="s">
        <v>708</v>
      </c>
      <c r="AS13" s="16" t="s">
        <v>708</v>
      </c>
      <c r="AT13" s="18" t="s">
        <v>632</v>
      </c>
      <c r="AU13" s="15"/>
      <c r="AV13" s="15"/>
      <c r="AW13" s="17" t="s">
        <v>715</v>
      </c>
    </row>
    <row r="14" ht="22" customHeight="1" spans="1:49">
      <c r="A14" s="11" t="s">
        <v>486</v>
      </c>
      <c r="B14" s="11" t="s">
        <v>146</v>
      </c>
      <c r="C14" s="11" t="s">
        <v>60</v>
      </c>
      <c r="D14" s="11" t="s">
        <v>467</v>
      </c>
      <c r="E14" s="11" t="s">
        <v>468</v>
      </c>
      <c r="F14" s="11" t="s">
        <v>469</v>
      </c>
      <c r="G14" s="11"/>
      <c r="H14" s="12" t="s">
        <v>706</v>
      </c>
      <c r="I14" s="13">
        <v>4</v>
      </c>
      <c r="J14" s="14">
        <v>4.5</v>
      </c>
      <c r="K14" s="13">
        <v>5</v>
      </c>
      <c r="L14" s="14">
        <v>3.5</v>
      </c>
      <c r="M14" s="14">
        <v>3.5</v>
      </c>
      <c r="N14" s="14">
        <v>3.5</v>
      </c>
      <c r="O14" s="14">
        <v>3.5</v>
      </c>
      <c r="P14" s="13">
        <v>4</v>
      </c>
      <c r="Q14" s="14">
        <v>3.5</v>
      </c>
      <c r="R14" s="13">
        <v>4</v>
      </c>
      <c r="S14" s="14">
        <v>40.425</v>
      </c>
      <c r="T14" s="13">
        <v>4</v>
      </c>
      <c r="U14" s="13">
        <v>4</v>
      </c>
      <c r="V14" s="13">
        <v>4</v>
      </c>
      <c r="W14" s="13">
        <v>4</v>
      </c>
      <c r="X14" s="13">
        <v>4</v>
      </c>
      <c r="Y14" s="13">
        <v>4</v>
      </c>
      <c r="Z14" s="14">
        <v>30</v>
      </c>
      <c r="AA14" s="13">
        <v>4</v>
      </c>
      <c r="AB14" s="13">
        <v>4</v>
      </c>
      <c r="AC14" s="13">
        <v>4</v>
      </c>
      <c r="AD14" s="14">
        <v>10</v>
      </c>
      <c r="AE14" s="13">
        <v>4</v>
      </c>
      <c r="AF14" s="13">
        <v>4</v>
      </c>
      <c r="AG14" s="13">
        <v>4</v>
      </c>
      <c r="AH14" s="14">
        <v>10</v>
      </c>
      <c r="AI14" s="13">
        <v>4</v>
      </c>
      <c r="AJ14" s="14">
        <v>3.5</v>
      </c>
      <c r="AK14" s="14">
        <v>4.75</v>
      </c>
      <c r="AL14" s="14">
        <v>95.175</v>
      </c>
      <c r="AM14" s="15"/>
      <c r="AN14" s="15" t="s">
        <v>707</v>
      </c>
      <c r="AO14" s="16" t="s">
        <v>708</v>
      </c>
      <c r="AP14" s="16" t="s">
        <v>708</v>
      </c>
      <c r="AQ14" s="16" t="s">
        <v>708</v>
      </c>
      <c r="AR14" s="16" t="s">
        <v>708</v>
      </c>
      <c r="AS14" s="16" t="s">
        <v>708</v>
      </c>
      <c r="AT14" s="16" t="s">
        <v>631</v>
      </c>
      <c r="AU14" s="15"/>
      <c r="AV14" s="15"/>
      <c r="AW14" s="17" t="s">
        <v>716</v>
      </c>
    </row>
    <row r="15" ht="22" customHeight="1" spans="1:49">
      <c r="A15" s="11" t="s">
        <v>487</v>
      </c>
      <c r="B15" s="11" t="s">
        <v>146</v>
      </c>
      <c r="C15" s="11" t="s">
        <v>60</v>
      </c>
      <c r="D15" s="11" t="s">
        <v>467</v>
      </c>
      <c r="E15" s="11" t="s">
        <v>468</v>
      </c>
      <c r="F15" s="11" t="s">
        <v>471</v>
      </c>
      <c r="G15" s="11"/>
      <c r="H15" s="12" t="s">
        <v>706</v>
      </c>
      <c r="I15" s="13">
        <v>4</v>
      </c>
      <c r="J15" s="14">
        <v>4.5</v>
      </c>
      <c r="K15" s="13">
        <v>5</v>
      </c>
      <c r="L15" s="14">
        <v>3.5</v>
      </c>
      <c r="M15" s="14">
        <v>3.5</v>
      </c>
      <c r="N15" s="14">
        <v>3.5</v>
      </c>
      <c r="O15" s="14">
        <v>3.5</v>
      </c>
      <c r="P15" s="13">
        <v>4</v>
      </c>
      <c r="Q15" s="13">
        <v>4</v>
      </c>
      <c r="R15" s="13">
        <v>4</v>
      </c>
      <c r="S15" s="14">
        <v>40.925</v>
      </c>
      <c r="T15" s="13">
        <v>4</v>
      </c>
      <c r="U15" s="13">
        <v>4</v>
      </c>
      <c r="V15" s="13">
        <v>4</v>
      </c>
      <c r="W15" s="13">
        <v>4</v>
      </c>
      <c r="X15" s="13">
        <v>4</v>
      </c>
      <c r="Y15" s="13">
        <v>4</v>
      </c>
      <c r="Z15" s="14">
        <v>30</v>
      </c>
      <c r="AA15" s="13">
        <v>4</v>
      </c>
      <c r="AB15" s="13">
        <v>4</v>
      </c>
      <c r="AC15" s="13">
        <v>4</v>
      </c>
      <c r="AD15" s="14">
        <v>10</v>
      </c>
      <c r="AE15" s="13">
        <v>4</v>
      </c>
      <c r="AF15" s="13">
        <v>4</v>
      </c>
      <c r="AG15" s="13">
        <v>4</v>
      </c>
      <c r="AH15" s="14">
        <v>10</v>
      </c>
      <c r="AI15" s="13">
        <v>4</v>
      </c>
      <c r="AJ15" s="14">
        <v>3.5</v>
      </c>
      <c r="AK15" s="14">
        <v>4.75</v>
      </c>
      <c r="AL15" s="14">
        <v>95.675</v>
      </c>
      <c r="AM15" s="15"/>
      <c r="AN15" s="15" t="s">
        <v>707</v>
      </c>
      <c r="AO15" s="16" t="s">
        <v>708</v>
      </c>
      <c r="AP15" s="16" t="s">
        <v>708</v>
      </c>
      <c r="AQ15" s="16" t="s">
        <v>708</v>
      </c>
      <c r="AR15" s="16" t="s">
        <v>708</v>
      </c>
      <c r="AS15" s="16" t="s">
        <v>708</v>
      </c>
      <c r="AT15" s="16" t="s">
        <v>631</v>
      </c>
      <c r="AU15" s="15"/>
      <c r="AV15" s="15"/>
      <c r="AW15" s="17" t="s">
        <v>716</v>
      </c>
    </row>
    <row r="16" ht="22" customHeight="1" spans="1:49">
      <c r="A16" s="11" t="s">
        <v>488</v>
      </c>
      <c r="B16" s="11" t="s">
        <v>146</v>
      </c>
      <c r="C16" s="11" t="s">
        <v>60</v>
      </c>
      <c r="D16" s="11" t="s">
        <v>473</v>
      </c>
      <c r="E16" s="11" t="s">
        <v>474</v>
      </c>
      <c r="F16" s="11" t="s">
        <v>469</v>
      </c>
      <c r="G16" s="11"/>
      <c r="H16" s="12" t="s">
        <v>706</v>
      </c>
      <c r="I16" s="14">
        <v>3.5</v>
      </c>
      <c r="J16" s="13">
        <v>5</v>
      </c>
      <c r="K16" s="14">
        <v>4.5</v>
      </c>
      <c r="L16" s="14">
        <v>2.5</v>
      </c>
      <c r="M16" s="13">
        <v>4</v>
      </c>
      <c r="N16" s="13">
        <v>3</v>
      </c>
      <c r="O16" s="13">
        <v>2</v>
      </c>
      <c r="P16" s="13">
        <v>4</v>
      </c>
      <c r="Q16" s="13">
        <v>4</v>
      </c>
      <c r="R16" s="13">
        <v>4</v>
      </c>
      <c r="S16" s="14">
        <v>36.9</v>
      </c>
      <c r="T16" s="13">
        <v>4</v>
      </c>
      <c r="U16" s="13">
        <v>3</v>
      </c>
      <c r="V16" s="13">
        <v>4</v>
      </c>
      <c r="W16" s="13">
        <v>4</v>
      </c>
      <c r="X16" s="13">
        <v>4</v>
      </c>
      <c r="Y16" s="13">
        <v>4</v>
      </c>
      <c r="Z16" s="14">
        <v>28.5</v>
      </c>
      <c r="AA16" s="13">
        <v>4</v>
      </c>
      <c r="AB16" s="14">
        <v>3.5</v>
      </c>
      <c r="AC16" s="14">
        <v>3.5</v>
      </c>
      <c r="AD16" s="14">
        <v>9.25</v>
      </c>
      <c r="AE16" s="13">
        <v>4</v>
      </c>
      <c r="AF16" s="13">
        <v>4</v>
      </c>
      <c r="AG16" s="14">
        <v>3.5</v>
      </c>
      <c r="AH16" s="14">
        <v>9.625</v>
      </c>
      <c r="AI16" s="13">
        <v>4</v>
      </c>
      <c r="AJ16" s="14">
        <v>3.5</v>
      </c>
      <c r="AK16" s="14">
        <v>4.75</v>
      </c>
      <c r="AL16" s="14">
        <v>89.025</v>
      </c>
      <c r="AM16" s="15"/>
      <c r="AN16" s="15" t="s">
        <v>707</v>
      </c>
      <c r="AO16" s="16" t="s">
        <v>708</v>
      </c>
      <c r="AP16" s="16" t="s">
        <v>708</v>
      </c>
      <c r="AQ16" s="16" t="s">
        <v>708</v>
      </c>
      <c r="AR16" s="16" t="s">
        <v>708</v>
      </c>
      <c r="AS16" s="16" t="s">
        <v>708</v>
      </c>
      <c r="AT16" s="16" t="s">
        <v>631</v>
      </c>
      <c r="AU16" s="15"/>
      <c r="AV16" s="15"/>
      <c r="AW16" s="17" t="s">
        <v>717</v>
      </c>
    </row>
    <row r="17" ht="22" customHeight="1" spans="1:49">
      <c r="A17" s="11" t="s">
        <v>489</v>
      </c>
      <c r="B17" s="11" t="s">
        <v>146</v>
      </c>
      <c r="C17" s="11" t="s">
        <v>60</v>
      </c>
      <c r="D17" s="11" t="s">
        <v>473</v>
      </c>
      <c r="E17" s="11" t="s">
        <v>474</v>
      </c>
      <c r="F17" s="11" t="s">
        <v>471</v>
      </c>
      <c r="G17" s="11"/>
      <c r="H17" s="12" t="s">
        <v>706</v>
      </c>
      <c r="I17" s="14">
        <v>3.5</v>
      </c>
      <c r="J17" s="13">
        <v>5</v>
      </c>
      <c r="K17" s="14">
        <v>4.5</v>
      </c>
      <c r="L17" s="14">
        <v>2.5</v>
      </c>
      <c r="M17" s="13">
        <v>4</v>
      </c>
      <c r="N17" s="13">
        <v>3</v>
      </c>
      <c r="O17" s="13">
        <v>2</v>
      </c>
      <c r="P17" s="13">
        <v>4</v>
      </c>
      <c r="Q17" s="14">
        <v>3.5</v>
      </c>
      <c r="R17" s="13">
        <v>4</v>
      </c>
      <c r="S17" s="14">
        <v>36.4</v>
      </c>
      <c r="T17" s="13">
        <v>4</v>
      </c>
      <c r="U17" s="14">
        <v>3.5</v>
      </c>
      <c r="V17" s="13">
        <v>4</v>
      </c>
      <c r="W17" s="13">
        <v>4</v>
      </c>
      <c r="X17" s="13">
        <v>4</v>
      </c>
      <c r="Y17" s="13">
        <v>4</v>
      </c>
      <c r="Z17" s="14">
        <v>29.25</v>
      </c>
      <c r="AA17" s="13">
        <v>4</v>
      </c>
      <c r="AB17" s="14">
        <v>3.5</v>
      </c>
      <c r="AC17" s="14">
        <v>3.5</v>
      </c>
      <c r="AD17" s="14">
        <v>9.25</v>
      </c>
      <c r="AE17" s="13">
        <v>4</v>
      </c>
      <c r="AF17" s="13">
        <v>4</v>
      </c>
      <c r="AG17" s="14">
        <v>3.5</v>
      </c>
      <c r="AH17" s="14">
        <v>9.625</v>
      </c>
      <c r="AI17" s="13">
        <v>4</v>
      </c>
      <c r="AJ17" s="14">
        <v>3.5</v>
      </c>
      <c r="AK17" s="14">
        <v>4.75</v>
      </c>
      <c r="AL17" s="14">
        <v>89.275</v>
      </c>
      <c r="AM17" s="15"/>
      <c r="AN17" s="15" t="s">
        <v>707</v>
      </c>
      <c r="AO17" s="16" t="s">
        <v>708</v>
      </c>
      <c r="AP17" s="16" t="s">
        <v>708</v>
      </c>
      <c r="AQ17" s="16" t="s">
        <v>708</v>
      </c>
      <c r="AR17" s="16" t="s">
        <v>708</v>
      </c>
      <c r="AS17" s="16" t="s">
        <v>708</v>
      </c>
      <c r="AT17" s="16" t="s">
        <v>631</v>
      </c>
      <c r="AU17" s="15"/>
      <c r="AV17" s="15"/>
      <c r="AW17" s="17" t="s">
        <v>717</v>
      </c>
    </row>
    <row r="18" ht="22" customHeight="1" spans="1:49">
      <c r="A18" s="11" t="s">
        <v>490</v>
      </c>
      <c r="B18" s="11" t="s">
        <v>146</v>
      </c>
      <c r="C18" s="11" t="s">
        <v>60</v>
      </c>
      <c r="D18" s="11" t="s">
        <v>477</v>
      </c>
      <c r="E18" s="11">
        <v>2.5</v>
      </c>
      <c r="F18" s="11" t="s">
        <v>469</v>
      </c>
      <c r="G18" s="11"/>
      <c r="H18" s="12" t="s">
        <v>706</v>
      </c>
      <c r="I18" s="13">
        <v>5</v>
      </c>
      <c r="J18" s="13">
        <v>5</v>
      </c>
      <c r="K18" s="14">
        <v>4.5</v>
      </c>
      <c r="L18" s="13">
        <v>4</v>
      </c>
      <c r="M18" s="13">
        <v>4</v>
      </c>
      <c r="N18" s="13">
        <v>4</v>
      </c>
      <c r="O18" s="13">
        <v>4</v>
      </c>
      <c r="P18" s="13">
        <v>4</v>
      </c>
      <c r="Q18" s="13">
        <v>4</v>
      </c>
      <c r="R18" s="13">
        <v>4</v>
      </c>
      <c r="S18" s="14">
        <v>44.6</v>
      </c>
      <c r="T18" s="13">
        <v>4</v>
      </c>
      <c r="U18" s="13">
        <v>2</v>
      </c>
      <c r="V18" s="13">
        <v>4</v>
      </c>
      <c r="W18" s="14">
        <v>3.5</v>
      </c>
      <c r="X18" s="13">
        <v>4</v>
      </c>
      <c r="Y18" s="13">
        <v>4</v>
      </c>
      <c r="Z18" s="14">
        <v>26.5</v>
      </c>
      <c r="AA18" s="13">
        <v>1</v>
      </c>
      <c r="AB18" s="14">
        <v>3.5</v>
      </c>
      <c r="AC18" s="13">
        <v>4</v>
      </c>
      <c r="AD18" s="14">
        <v>6.625</v>
      </c>
      <c r="AE18" s="13">
        <v>4</v>
      </c>
      <c r="AF18" s="13">
        <v>4</v>
      </c>
      <c r="AG18" s="13">
        <v>4</v>
      </c>
      <c r="AH18" s="14">
        <v>10</v>
      </c>
      <c r="AI18" s="13">
        <v>4</v>
      </c>
      <c r="AJ18" s="13">
        <v>3</v>
      </c>
      <c r="AK18" s="14">
        <v>4.5</v>
      </c>
      <c r="AL18" s="14">
        <v>92.225</v>
      </c>
      <c r="AM18" s="15"/>
      <c r="AN18" s="15" t="s">
        <v>707</v>
      </c>
      <c r="AO18" s="16" t="s">
        <v>708</v>
      </c>
      <c r="AP18" s="16" t="s">
        <v>708</v>
      </c>
      <c r="AQ18" s="18" t="s">
        <v>710</v>
      </c>
      <c r="AR18" s="16" t="s">
        <v>708</v>
      </c>
      <c r="AS18" s="16" t="s">
        <v>708</v>
      </c>
      <c r="AT18" s="18" t="s">
        <v>632</v>
      </c>
      <c r="AU18" s="15"/>
      <c r="AV18" s="15"/>
      <c r="AW18" s="17" t="s">
        <v>715</v>
      </c>
    </row>
    <row r="19" ht="22" customHeight="1" spans="1:49">
      <c r="A19" s="11" t="s">
        <v>491</v>
      </c>
      <c r="B19" s="11" t="s">
        <v>146</v>
      </c>
      <c r="C19" s="11" t="s">
        <v>60</v>
      </c>
      <c r="D19" s="11" t="s">
        <v>477</v>
      </c>
      <c r="E19" s="11">
        <v>2.5</v>
      </c>
      <c r="F19" s="11" t="s">
        <v>471</v>
      </c>
      <c r="G19" s="11"/>
      <c r="H19" s="12" t="s">
        <v>706</v>
      </c>
      <c r="I19" s="13">
        <v>5</v>
      </c>
      <c r="J19" s="13">
        <v>5</v>
      </c>
      <c r="K19" s="14">
        <v>4.5</v>
      </c>
      <c r="L19" s="13">
        <v>4</v>
      </c>
      <c r="M19" s="13">
        <v>4</v>
      </c>
      <c r="N19" s="13">
        <v>4</v>
      </c>
      <c r="O19" s="13">
        <v>4</v>
      </c>
      <c r="P19" s="13">
        <v>4</v>
      </c>
      <c r="Q19" s="13">
        <v>4</v>
      </c>
      <c r="R19" s="13">
        <v>4</v>
      </c>
      <c r="S19" s="14">
        <v>44.6</v>
      </c>
      <c r="T19" s="13">
        <v>4</v>
      </c>
      <c r="U19" s="13">
        <v>2</v>
      </c>
      <c r="V19" s="13">
        <v>4</v>
      </c>
      <c r="W19" s="14">
        <v>3.5</v>
      </c>
      <c r="X19" s="13">
        <v>4</v>
      </c>
      <c r="Y19" s="13">
        <v>4</v>
      </c>
      <c r="Z19" s="14">
        <v>26.5</v>
      </c>
      <c r="AA19" s="13">
        <v>1</v>
      </c>
      <c r="AB19" s="14">
        <v>3.5</v>
      </c>
      <c r="AC19" s="13">
        <v>4</v>
      </c>
      <c r="AD19" s="14">
        <v>6.625</v>
      </c>
      <c r="AE19" s="13">
        <v>4</v>
      </c>
      <c r="AF19" s="13">
        <v>4</v>
      </c>
      <c r="AG19" s="13">
        <v>4</v>
      </c>
      <c r="AH19" s="14">
        <v>10</v>
      </c>
      <c r="AI19" s="13">
        <v>4</v>
      </c>
      <c r="AJ19" s="13">
        <v>3</v>
      </c>
      <c r="AK19" s="14">
        <v>4.5</v>
      </c>
      <c r="AL19" s="14">
        <v>92.225</v>
      </c>
      <c r="AM19" s="15"/>
      <c r="AN19" s="15" t="s">
        <v>707</v>
      </c>
      <c r="AO19" s="16" t="s">
        <v>708</v>
      </c>
      <c r="AP19" s="16" t="s">
        <v>708</v>
      </c>
      <c r="AQ19" s="18" t="s">
        <v>710</v>
      </c>
      <c r="AR19" s="16" t="s">
        <v>708</v>
      </c>
      <c r="AS19" s="16" t="s">
        <v>708</v>
      </c>
      <c r="AT19" s="18" t="s">
        <v>632</v>
      </c>
      <c r="AU19" s="15"/>
      <c r="AV19" s="15"/>
      <c r="AW19" s="17" t="s">
        <v>715</v>
      </c>
    </row>
    <row r="20" ht="22" customHeight="1" spans="1:49">
      <c r="A20" s="11" t="s">
        <v>492</v>
      </c>
      <c r="B20" s="11" t="s">
        <v>155</v>
      </c>
      <c r="C20" s="11" t="s">
        <v>67</v>
      </c>
      <c r="D20" s="11" t="s">
        <v>467</v>
      </c>
      <c r="E20" s="11" t="s">
        <v>468</v>
      </c>
      <c r="F20" s="11" t="s">
        <v>469</v>
      </c>
      <c r="G20" s="11"/>
      <c r="H20" s="12" t="s">
        <v>706</v>
      </c>
      <c r="I20" s="14">
        <v>4.5</v>
      </c>
      <c r="J20" s="13">
        <v>3</v>
      </c>
      <c r="K20" s="14">
        <v>3.5</v>
      </c>
      <c r="L20" s="13">
        <v>2</v>
      </c>
      <c r="M20" s="13">
        <v>4</v>
      </c>
      <c r="N20" s="13">
        <v>4</v>
      </c>
      <c r="O20" s="13">
        <v>3</v>
      </c>
      <c r="P20" s="14">
        <v>3.5</v>
      </c>
      <c r="Q20" s="13">
        <v>3</v>
      </c>
      <c r="R20" s="14">
        <v>3.5</v>
      </c>
      <c r="S20" s="14">
        <v>35.05</v>
      </c>
      <c r="T20" s="13">
        <v>4</v>
      </c>
      <c r="U20" s="13">
        <v>4</v>
      </c>
      <c r="V20" s="13">
        <v>4</v>
      </c>
      <c r="W20" s="13">
        <v>4</v>
      </c>
      <c r="X20" s="13">
        <v>4</v>
      </c>
      <c r="Y20" s="13">
        <v>4</v>
      </c>
      <c r="Z20" s="14">
        <v>30</v>
      </c>
      <c r="AA20" s="13">
        <v>4</v>
      </c>
      <c r="AB20" s="13">
        <v>4</v>
      </c>
      <c r="AC20" s="13">
        <v>4</v>
      </c>
      <c r="AD20" s="14">
        <v>10</v>
      </c>
      <c r="AE20" s="13">
        <v>4</v>
      </c>
      <c r="AF20" s="13">
        <v>4</v>
      </c>
      <c r="AG20" s="13">
        <v>4</v>
      </c>
      <c r="AH20" s="14">
        <v>10</v>
      </c>
      <c r="AI20" s="13">
        <v>4</v>
      </c>
      <c r="AJ20" s="13">
        <v>3</v>
      </c>
      <c r="AK20" s="14">
        <v>4.5</v>
      </c>
      <c r="AL20" s="14">
        <v>89.55</v>
      </c>
      <c r="AM20" s="15"/>
      <c r="AN20" s="15" t="s">
        <v>707</v>
      </c>
      <c r="AO20" s="18" t="s">
        <v>710</v>
      </c>
      <c r="AP20" s="16" t="s">
        <v>708</v>
      </c>
      <c r="AQ20" s="16" t="s">
        <v>708</v>
      </c>
      <c r="AR20" s="16" t="s">
        <v>708</v>
      </c>
      <c r="AS20" s="16" t="s">
        <v>708</v>
      </c>
      <c r="AT20" s="18" t="s">
        <v>632</v>
      </c>
      <c r="AU20" s="15"/>
      <c r="AV20" s="15"/>
      <c r="AW20" s="17" t="s">
        <v>718</v>
      </c>
    </row>
    <row r="21" ht="22" customHeight="1" spans="1:49">
      <c r="A21" s="11" t="s">
        <v>493</v>
      </c>
      <c r="B21" s="11" t="s">
        <v>155</v>
      </c>
      <c r="C21" s="11" t="s">
        <v>67</v>
      </c>
      <c r="D21" s="11" t="s">
        <v>467</v>
      </c>
      <c r="E21" s="11" t="s">
        <v>468</v>
      </c>
      <c r="F21" s="11" t="s">
        <v>471</v>
      </c>
      <c r="G21" s="11"/>
      <c r="H21" s="12" t="s">
        <v>706</v>
      </c>
      <c r="I21" s="14">
        <v>4.5</v>
      </c>
      <c r="J21" s="13">
        <v>3</v>
      </c>
      <c r="K21" s="14">
        <v>3.5</v>
      </c>
      <c r="L21" s="13">
        <v>2</v>
      </c>
      <c r="M21" s="13">
        <v>4</v>
      </c>
      <c r="N21" s="13">
        <v>4</v>
      </c>
      <c r="O21" s="13">
        <v>3</v>
      </c>
      <c r="P21" s="14">
        <v>3.5</v>
      </c>
      <c r="Q21" s="13">
        <v>3</v>
      </c>
      <c r="R21" s="14">
        <v>3.5</v>
      </c>
      <c r="S21" s="14">
        <v>35.05</v>
      </c>
      <c r="T21" s="13">
        <v>4</v>
      </c>
      <c r="U21" s="13">
        <v>4</v>
      </c>
      <c r="V21" s="13">
        <v>4</v>
      </c>
      <c r="W21" s="13">
        <v>4</v>
      </c>
      <c r="X21" s="13">
        <v>4</v>
      </c>
      <c r="Y21" s="13">
        <v>4</v>
      </c>
      <c r="Z21" s="14">
        <v>30</v>
      </c>
      <c r="AA21" s="13">
        <v>4</v>
      </c>
      <c r="AB21" s="13">
        <v>4</v>
      </c>
      <c r="AC21" s="13">
        <v>4</v>
      </c>
      <c r="AD21" s="14">
        <v>10</v>
      </c>
      <c r="AE21" s="13">
        <v>4</v>
      </c>
      <c r="AF21" s="13">
        <v>4</v>
      </c>
      <c r="AG21" s="13">
        <v>4</v>
      </c>
      <c r="AH21" s="14">
        <v>10</v>
      </c>
      <c r="AI21" s="13">
        <v>4</v>
      </c>
      <c r="AJ21" s="14">
        <v>3.5</v>
      </c>
      <c r="AK21" s="14">
        <v>4.75</v>
      </c>
      <c r="AL21" s="14">
        <v>89.8</v>
      </c>
      <c r="AM21" s="15"/>
      <c r="AN21" s="15" t="s">
        <v>707</v>
      </c>
      <c r="AO21" s="18" t="s">
        <v>710</v>
      </c>
      <c r="AP21" s="16" t="s">
        <v>708</v>
      </c>
      <c r="AQ21" s="16" t="s">
        <v>708</v>
      </c>
      <c r="AR21" s="16" t="s">
        <v>708</v>
      </c>
      <c r="AS21" s="16" t="s">
        <v>708</v>
      </c>
      <c r="AT21" s="18" t="s">
        <v>632</v>
      </c>
      <c r="AU21" s="15"/>
      <c r="AV21" s="15"/>
      <c r="AW21" s="17" t="s">
        <v>718</v>
      </c>
    </row>
    <row r="22" ht="22" customHeight="1" spans="1:49">
      <c r="A22" s="11" t="s">
        <v>494</v>
      </c>
      <c r="B22" s="11" t="s">
        <v>155</v>
      </c>
      <c r="C22" s="11" t="s">
        <v>67</v>
      </c>
      <c r="D22" s="11" t="s">
        <v>473</v>
      </c>
      <c r="E22" s="11" t="s">
        <v>474</v>
      </c>
      <c r="F22" s="11" t="s">
        <v>469</v>
      </c>
      <c r="G22" s="11"/>
      <c r="H22" s="12" t="s">
        <v>706</v>
      </c>
      <c r="I22" s="13">
        <v>3</v>
      </c>
      <c r="J22" s="13">
        <v>4</v>
      </c>
      <c r="K22" s="13">
        <v>3</v>
      </c>
      <c r="L22" s="14">
        <v>2.5</v>
      </c>
      <c r="M22" s="13">
        <v>4</v>
      </c>
      <c r="N22" s="13">
        <v>4</v>
      </c>
      <c r="O22" s="14">
        <v>2.5</v>
      </c>
      <c r="P22" s="13">
        <v>3</v>
      </c>
      <c r="Q22" s="13">
        <v>3</v>
      </c>
      <c r="R22" s="14">
        <v>2.5</v>
      </c>
      <c r="S22" s="14">
        <v>33.75</v>
      </c>
      <c r="T22" s="13">
        <v>4</v>
      </c>
      <c r="U22" s="13">
        <v>4</v>
      </c>
      <c r="V22" s="13">
        <v>4</v>
      </c>
      <c r="W22" s="13">
        <v>4</v>
      </c>
      <c r="X22" s="13">
        <v>4</v>
      </c>
      <c r="Y22" s="13">
        <v>4</v>
      </c>
      <c r="Z22" s="14">
        <v>30</v>
      </c>
      <c r="AA22" s="14">
        <v>3.5</v>
      </c>
      <c r="AB22" s="13">
        <v>4</v>
      </c>
      <c r="AC22" s="13">
        <v>3</v>
      </c>
      <c r="AD22" s="14">
        <v>8.75</v>
      </c>
      <c r="AE22" s="13">
        <v>4</v>
      </c>
      <c r="AF22" s="13">
        <v>4</v>
      </c>
      <c r="AG22" s="14">
        <v>3.5</v>
      </c>
      <c r="AH22" s="14">
        <v>9.625</v>
      </c>
      <c r="AI22" s="13">
        <v>4</v>
      </c>
      <c r="AJ22" s="13">
        <v>3</v>
      </c>
      <c r="AK22" s="14">
        <v>4.5</v>
      </c>
      <c r="AL22" s="14">
        <v>86.625</v>
      </c>
      <c r="AM22" s="15"/>
      <c r="AN22" s="15" t="s">
        <v>707</v>
      </c>
      <c r="AO22" s="18" t="s">
        <v>710</v>
      </c>
      <c r="AP22" s="16" t="s">
        <v>708</v>
      </c>
      <c r="AQ22" s="16" t="s">
        <v>708</v>
      </c>
      <c r="AR22" s="16" t="s">
        <v>708</v>
      </c>
      <c r="AS22" s="16" t="s">
        <v>708</v>
      </c>
      <c r="AT22" s="18" t="s">
        <v>632</v>
      </c>
      <c r="AU22" s="15"/>
      <c r="AV22" s="15"/>
      <c r="AW22" s="17" t="s">
        <v>719</v>
      </c>
    </row>
    <row r="23" ht="22" customHeight="1" spans="1:49">
      <c r="A23" s="11" t="s">
        <v>495</v>
      </c>
      <c r="B23" s="11" t="s">
        <v>155</v>
      </c>
      <c r="C23" s="11" t="s">
        <v>67</v>
      </c>
      <c r="D23" s="11" t="s">
        <v>473</v>
      </c>
      <c r="E23" s="11" t="s">
        <v>474</v>
      </c>
      <c r="F23" s="11" t="s">
        <v>471</v>
      </c>
      <c r="G23" s="11"/>
      <c r="H23" s="12" t="s">
        <v>706</v>
      </c>
      <c r="I23" s="13">
        <v>3</v>
      </c>
      <c r="J23" s="13">
        <v>4</v>
      </c>
      <c r="K23" s="13">
        <v>3</v>
      </c>
      <c r="L23" s="13">
        <v>3</v>
      </c>
      <c r="M23" s="13">
        <v>4</v>
      </c>
      <c r="N23" s="13">
        <v>4</v>
      </c>
      <c r="O23" s="13">
        <v>3</v>
      </c>
      <c r="P23" s="13">
        <v>2</v>
      </c>
      <c r="Q23" s="13">
        <v>3</v>
      </c>
      <c r="R23" s="13">
        <v>3</v>
      </c>
      <c r="S23" s="14">
        <v>34.5</v>
      </c>
      <c r="T23" s="13">
        <v>4</v>
      </c>
      <c r="U23" s="13">
        <v>4</v>
      </c>
      <c r="V23" s="13">
        <v>4</v>
      </c>
      <c r="W23" s="13">
        <v>4</v>
      </c>
      <c r="X23" s="13">
        <v>4</v>
      </c>
      <c r="Y23" s="13">
        <v>4</v>
      </c>
      <c r="Z23" s="14">
        <v>30</v>
      </c>
      <c r="AA23" s="14">
        <v>3.5</v>
      </c>
      <c r="AB23" s="13">
        <v>4</v>
      </c>
      <c r="AC23" s="13">
        <v>3</v>
      </c>
      <c r="AD23" s="14">
        <v>8.75</v>
      </c>
      <c r="AE23" s="13">
        <v>4</v>
      </c>
      <c r="AF23" s="13">
        <v>4</v>
      </c>
      <c r="AG23" s="14">
        <v>3.5</v>
      </c>
      <c r="AH23" s="14">
        <v>9.625</v>
      </c>
      <c r="AI23" s="13">
        <v>4</v>
      </c>
      <c r="AJ23" s="13">
        <v>3</v>
      </c>
      <c r="AK23" s="14">
        <v>4.5</v>
      </c>
      <c r="AL23" s="14">
        <v>87.375</v>
      </c>
      <c r="AM23" s="15"/>
      <c r="AN23" s="15" t="s">
        <v>707</v>
      </c>
      <c r="AO23" s="18" t="s">
        <v>710</v>
      </c>
      <c r="AP23" s="16" t="s">
        <v>708</v>
      </c>
      <c r="AQ23" s="16" t="s">
        <v>708</v>
      </c>
      <c r="AR23" s="16" t="s">
        <v>708</v>
      </c>
      <c r="AS23" s="16" t="s">
        <v>708</v>
      </c>
      <c r="AT23" s="18" t="s">
        <v>632</v>
      </c>
      <c r="AU23" s="15"/>
      <c r="AV23" s="15"/>
      <c r="AW23" s="17" t="s">
        <v>720</v>
      </c>
    </row>
    <row r="24" ht="22" customHeight="1" spans="1:49">
      <c r="A24" s="11" t="s">
        <v>496</v>
      </c>
      <c r="B24" s="11" t="s">
        <v>155</v>
      </c>
      <c r="C24" s="11" t="s">
        <v>67</v>
      </c>
      <c r="D24" s="11" t="s">
        <v>477</v>
      </c>
      <c r="E24" s="11">
        <v>2.5</v>
      </c>
      <c r="F24" s="11" t="s">
        <v>469</v>
      </c>
      <c r="G24" s="11"/>
      <c r="H24" s="12" t="s">
        <v>706</v>
      </c>
      <c r="I24" s="13">
        <v>5</v>
      </c>
      <c r="J24" s="14">
        <v>4.5</v>
      </c>
      <c r="K24" s="14">
        <v>4.5</v>
      </c>
      <c r="L24" s="13">
        <v>4</v>
      </c>
      <c r="M24" s="13">
        <v>4</v>
      </c>
      <c r="N24" s="13">
        <v>4</v>
      </c>
      <c r="O24" s="14">
        <v>3.5</v>
      </c>
      <c r="P24" s="13">
        <v>4</v>
      </c>
      <c r="Q24" s="13">
        <v>4</v>
      </c>
      <c r="R24" s="13">
        <v>4</v>
      </c>
      <c r="S24" s="14">
        <v>43.7</v>
      </c>
      <c r="T24" s="13">
        <v>4</v>
      </c>
      <c r="U24" s="13">
        <v>4</v>
      </c>
      <c r="V24" s="13">
        <v>4</v>
      </c>
      <c r="W24" s="14">
        <v>3.5</v>
      </c>
      <c r="X24" s="13">
        <v>4</v>
      </c>
      <c r="Y24" s="13">
        <v>3</v>
      </c>
      <c r="Z24" s="14">
        <v>28.75</v>
      </c>
      <c r="AA24" s="13">
        <v>1</v>
      </c>
      <c r="AB24" s="14">
        <v>3.5</v>
      </c>
      <c r="AC24" s="13">
        <v>4</v>
      </c>
      <c r="AD24" s="14">
        <v>6.625</v>
      </c>
      <c r="AE24" s="13">
        <v>4</v>
      </c>
      <c r="AF24" s="13">
        <v>4</v>
      </c>
      <c r="AG24" s="13">
        <v>4</v>
      </c>
      <c r="AH24" s="14">
        <v>10</v>
      </c>
      <c r="AI24" s="13">
        <v>4</v>
      </c>
      <c r="AJ24" s="13">
        <v>3</v>
      </c>
      <c r="AK24" s="14">
        <v>4.5</v>
      </c>
      <c r="AL24" s="14">
        <v>93.575</v>
      </c>
      <c r="AM24" s="15"/>
      <c r="AN24" s="15" t="s">
        <v>707</v>
      </c>
      <c r="AO24" s="16" t="s">
        <v>708</v>
      </c>
      <c r="AP24" s="16" t="s">
        <v>708</v>
      </c>
      <c r="AQ24" s="18" t="s">
        <v>710</v>
      </c>
      <c r="AR24" s="16" t="s">
        <v>708</v>
      </c>
      <c r="AS24" s="16" t="s">
        <v>708</v>
      </c>
      <c r="AT24" s="18" t="s">
        <v>632</v>
      </c>
      <c r="AU24" s="15"/>
      <c r="AV24" s="15"/>
      <c r="AW24" s="17" t="s">
        <v>715</v>
      </c>
    </row>
    <row r="25" ht="22" customHeight="1" spans="1:49">
      <c r="A25" s="11" t="s">
        <v>497</v>
      </c>
      <c r="B25" s="11" t="s">
        <v>155</v>
      </c>
      <c r="C25" s="11" t="s">
        <v>67</v>
      </c>
      <c r="D25" s="11" t="s">
        <v>477</v>
      </c>
      <c r="E25" s="11">
        <v>2.5</v>
      </c>
      <c r="F25" s="11" t="s">
        <v>471</v>
      </c>
      <c r="G25" s="11"/>
      <c r="H25" s="12" t="s">
        <v>706</v>
      </c>
      <c r="I25" s="13">
        <v>5</v>
      </c>
      <c r="J25" s="14">
        <v>4.5</v>
      </c>
      <c r="K25" s="14">
        <v>4.5</v>
      </c>
      <c r="L25" s="13">
        <v>4</v>
      </c>
      <c r="M25" s="13">
        <v>4</v>
      </c>
      <c r="N25" s="13">
        <v>4</v>
      </c>
      <c r="O25" s="14">
        <v>3.5</v>
      </c>
      <c r="P25" s="13">
        <v>4</v>
      </c>
      <c r="Q25" s="13">
        <v>4</v>
      </c>
      <c r="R25" s="13">
        <v>4</v>
      </c>
      <c r="S25" s="14">
        <v>43.7</v>
      </c>
      <c r="T25" s="13">
        <v>4</v>
      </c>
      <c r="U25" s="13">
        <v>4</v>
      </c>
      <c r="V25" s="13">
        <v>4</v>
      </c>
      <c r="W25" s="14">
        <v>3.5</v>
      </c>
      <c r="X25" s="13">
        <v>4</v>
      </c>
      <c r="Y25" s="13">
        <v>4</v>
      </c>
      <c r="Z25" s="14">
        <v>29.5</v>
      </c>
      <c r="AA25" s="13">
        <v>1</v>
      </c>
      <c r="AB25" s="14">
        <v>3.5</v>
      </c>
      <c r="AC25" s="13">
        <v>4</v>
      </c>
      <c r="AD25" s="14">
        <v>6.625</v>
      </c>
      <c r="AE25" s="13">
        <v>4</v>
      </c>
      <c r="AF25" s="13">
        <v>4</v>
      </c>
      <c r="AG25" s="13">
        <v>4</v>
      </c>
      <c r="AH25" s="14">
        <v>10</v>
      </c>
      <c r="AI25" s="13">
        <v>4</v>
      </c>
      <c r="AJ25" s="13">
        <v>3</v>
      </c>
      <c r="AK25" s="14">
        <v>4.5</v>
      </c>
      <c r="AL25" s="14">
        <v>94.325</v>
      </c>
      <c r="AM25" s="15"/>
      <c r="AN25" s="15" t="s">
        <v>707</v>
      </c>
      <c r="AO25" s="16" t="s">
        <v>708</v>
      </c>
      <c r="AP25" s="16" t="s">
        <v>708</v>
      </c>
      <c r="AQ25" s="18" t="s">
        <v>710</v>
      </c>
      <c r="AR25" s="16" t="s">
        <v>708</v>
      </c>
      <c r="AS25" s="16" t="s">
        <v>708</v>
      </c>
      <c r="AT25" s="18" t="s">
        <v>632</v>
      </c>
      <c r="AU25" s="15"/>
      <c r="AV25" s="15"/>
      <c r="AW25" s="17" t="s">
        <v>715</v>
      </c>
    </row>
    <row r="26" ht="22" customHeight="1" spans="1:49">
      <c r="A26" s="11" t="s">
        <v>498</v>
      </c>
      <c r="B26" s="11" t="s">
        <v>164</v>
      </c>
      <c r="C26" s="11" t="s">
        <v>74</v>
      </c>
      <c r="D26" s="11" t="s">
        <v>467</v>
      </c>
      <c r="E26" s="11" t="s">
        <v>468</v>
      </c>
      <c r="F26" s="11" t="s">
        <v>469</v>
      </c>
      <c r="G26" s="11"/>
      <c r="H26" s="12" t="s">
        <v>706</v>
      </c>
      <c r="I26" s="14">
        <v>4.5</v>
      </c>
      <c r="J26" s="14">
        <v>4.5</v>
      </c>
      <c r="K26" s="14">
        <v>4.5</v>
      </c>
      <c r="L26" s="14">
        <v>3.5</v>
      </c>
      <c r="M26" s="13">
        <v>4</v>
      </c>
      <c r="N26" s="14">
        <v>3.5</v>
      </c>
      <c r="O26" s="13">
        <v>4</v>
      </c>
      <c r="P26" s="13">
        <v>4</v>
      </c>
      <c r="Q26" s="13">
        <v>4</v>
      </c>
      <c r="R26" s="13">
        <v>4</v>
      </c>
      <c r="S26" s="14">
        <v>42.05</v>
      </c>
      <c r="T26" s="13">
        <v>4</v>
      </c>
      <c r="U26" s="13">
        <v>2</v>
      </c>
      <c r="V26" s="13">
        <v>4</v>
      </c>
      <c r="W26" s="14">
        <v>2.5</v>
      </c>
      <c r="X26" s="13">
        <v>4</v>
      </c>
      <c r="Y26" s="13">
        <v>4</v>
      </c>
      <c r="Z26" s="14">
        <v>25.5</v>
      </c>
      <c r="AA26" s="13">
        <v>4</v>
      </c>
      <c r="AB26" s="13">
        <v>4</v>
      </c>
      <c r="AC26" s="13">
        <v>4</v>
      </c>
      <c r="AD26" s="14">
        <v>10</v>
      </c>
      <c r="AE26" s="13">
        <v>4</v>
      </c>
      <c r="AF26" s="13">
        <v>4</v>
      </c>
      <c r="AG26" s="13">
        <v>4</v>
      </c>
      <c r="AH26" s="14">
        <v>10</v>
      </c>
      <c r="AI26" s="13">
        <v>4</v>
      </c>
      <c r="AJ26" s="13">
        <v>3</v>
      </c>
      <c r="AK26" s="14">
        <v>4.5</v>
      </c>
      <c r="AL26" s="14">
        <v>92.05</v>
      </c>
      <c r="AM26" s="15"/>
      <c r="AN26" s="15" t="s">
        <v>707</v>
      </c>
      <c r="AO26" s="16" t="s">
        <v>708</v>
      </c>
      <c r="AP26" s="16" t="s">
        <v>708</v>
      </c>
      <c r="AQ26" s="16" t="s">
        <v>708</v>
      </c>
      <c r="AR26" s="16" t="s">
        <v>708</v>
      </c>
      <c r="AS26" s="16" t="s">
        <v>708</v>
      </c>
      <c r="AT26" s="16" t="s">
        <v>631</v>
      </c>
      <c r="AU26" s="15"/>
      <c r="AV26" s="15"/>
      <c r="AW26" s="17" t="s">
        <v>637</v>
      </c>
    </row>
    <row r="27" ht="22" customHeight="1" spans="1:49">
      <c r="A27" s="11" t="s">
        <v>499</v>
      </c>
      <c r="B27" s="11" t="s">
        <v>164</v>
      </c>
      <c r="C27" s="11" t="s">
        <v>74</v>
      </c>
      <c r="D27" s="11" t="s">
        <v>467</v>
      </c>
      <c r="E27" s="11" t="s">
        <v>468</v>
      </c>
      <c r="F27" s="11" t="s">
        <v>471</v>
      </c>
      <c r="G27" s="11"/>
      <c r="H27" s="12" t="s">
        <v>706</v>
      </c>
      <c r="I27" s="14">
        <v>4.5</v>
      </c>
      <c r="J27" s="14">
        <v>4.5</v>
      </c>
      <c r="K27" s="14">
        <v>4.5</v>
      </c>
      <c r="L27" s="14">
        <v>3.5</v>
      </c>
      <c r="M27" s="13">
        <v>4</v>
      </c>
      <c r="N27" s="13">
        <v>4</v>
      </c>
      <c r="O27" s="13">
        <v>4</v>
      </c>
      <c r="P27" s="13">
        <v>4</v>
      </c>
      <c r="Q27" s="13">
        <v>4</v>
      </c>
      <c r="R27" s="13">
        <v>4</v>
      </c>
      <c r="S27" s="14">
        <v>42.8</v>
      </c>
      <c r="T27" s="13">
        <v>4</v>
      </c>
      <c r="U27" s="13">
        <v>4</v>
      </c>
      <c r="V27" s="13">
        <v>4</v>
      </c>
      <c r="W27" s="14">
        <v>3.5</v>
      </c>
      <c r="X27" s="13">
        <v>4</v>
      </c>
      <c r="Y27" s="13">
        <v>4</v>
      </c>
      <c r="Z27" s="14">
        <v>29.5</v>
      </c>
      <c r="AA27" s="13">
        <v>4</v>
      </c>
      <c r="AB27" s="13">
        <v>4</v>
      </c>
      <c r="AC27" s="13">
        <v>4</v>
      </c>
      <c r="AD27" s="14">
        <v>10</v>
      </c>
      <c r="AE27" s="13">
        <v>4</v>
      </c>
      <c r="AF27" s="13">
        <v>4</v>
      </c>
      <c r="AG27" s="13">
        <v>4</v>
      </c>
      <c r="AH27" s="14">
        <v>10</v>
      </c>
      <c r="AI27" s="13">
        <v>4</v>
      </c>
      <c r="AJ27" s="14">
        <v>3.5</v>
      </c>
      <c r="AK27" s="14">
        <v>4.75</v>
      </c>
      <c r="AL27" s="14">
        <v>97.05</v>
      </c>
      <c r="AM27" s="15"/>
      <c r="AN27" s="15" t="s">
        <v>707</v>
      </c>
      <c r="AO27" s="16" t="s">
        <v>708</v>
      </c>
      <c r="AP27" s="16" t="s">
        <v>708</v>
      </c>
      <c r="AQ27" s="16" t="s">
        <v>708</v>
      </c>
      <c r="AR27" s="16" t="s">
        <v>708</v>
      </c>
      <c r="AS27" s="16" t="s">
        <v>708</v>
      </c>
      <c r="AT27" s="16" t="s">
        <v>631</v>
      </c>
      <c r="AU27" s="15"/>
      <c r="AV27" s="15"/>
      <c r="AW27" s="17" t="s">
        <v>637</v>
      </c>
    </row>
    <row r="28" ht="22" customHeight="1" spans="1:49">
      <c r="A28" s="11" t="s">
        <v>500</v>
      </c>
      <c r="B28" s="11" t="s">
        <v>164</v>
      </c>
      <c r="C28" s="11" t="s">
        <v>74</v>
      </c>
      <c r="D28" s="11" t="s">
        <v>473</v>
      </c>
      <c r="E28" s="11" t="s">
        <v>474</v>
      </c>
      <c r="F28" s="11" t="s">
        <v>469</v>
      </c>
      <c r="G28" s="11"/>
      <c r="H28" s="12" t="s">
        <v>706</v>
      </c>
      <c r="I28" s="13">
        <v>4</v>
      </c>
      <c r="J28" s="13">
        <v>4</v>
      </c>
      <c r="K28" s="13">
        <v>4</v>
      </c>
      <c r="L28" s="13">
        <v>3</v>
      </c>
      <c r="M28" s="13">
        <v>4</v>
      </c>
      <c r="N28" s="14">
        <v>3.5</v>
      </c>
      <c r="O28" s="13">
        <v>4</v>
      </c>
      <c r="P28" s="13">
        <v>4</v>
      </c>
      <c r="Q28" s="13">
        <v>4</v>
      </c>
      <c r="R28" s="13">
        <v>3</v>
      </c>
      <c r="S28" s="14">
        <v>39.35</v>
      </c>
      <c r="T28" s="13">
        <v>4</v>
      </c>
      <c r="U28" s="14">
        <v>3.5</v>
      </c>
      <c r="V28" s="13">
        <v>4</v>
      </c>
      <c r="W28" s="14">
        <v>3.5</v>
      </c>
      <c r="X28" s="13">
        <v>4</v>
      </c>
      <c r="Y28" s="13">
        <v>4</v>
      </c>
      <c r="Z28" s="14">
        <v>28.75</v>
      </c>
      <c r="AA28" s="13">
        <v>4</v>
      </c>
      <c r="AB28" s="14">
        <v>3.5</v>
      </c>
      <c r="AC28" s="14">
        <v>3.5</v>
      </c>
      <c r="AD28" s="14">
        <v>9.25</v>
      </c>
      <c r="AE28" s="13">
        <v>4</v>
      </c>
      <c r="AF28" s="13">
        <v>4</v>
      </c>
      <c r="AG28" s="14">
        <v>3.5</v>
      </c>
      <c r="AH28" s="14">
        <v>9.625</v>
      </c>
      <c r="AI28" s="13">
        <v>4</v>
      </c>
      <c r="AJ28" s="14">
        <v>3.5</v>
      </c>
      <c r="AK28" s="14">
        <v>4.75</v>
      </c>
      <c r="AL28" s="14">
        <v>91.725</v>
      </c>
      <c r="AM28" s="15"/>
      <c r="AN28" s="15" t="s">
        <v>707</v>
      </c>
      <c r="AO28" s="16" t="s">
        <v>708</v>
      </c>
      <c r="AP28" s="16" t="s">
        <v>708</v>
      </c>
      <c r="AQ28" s="16" t="s">
        <v>708</v>
      </c>
      <c r="AR28" s="16" t="s">
        <v>708</v>
      </c>
      <c r="AS28" s="16" t="s">
        <v>708</v>
      </c>
      <c r="AT28" s="16" t="s">
        <v>631</v>
      </c>
      <c r="AU28" s="15"/>
      <c r="AV28" s="15"/>
      <c r="AW28" s="17" t="s">
        <v>637</v>
      </c>
    </row>
    <row r="29" ht="22" customHeight="1" spans="1:49">
      <c r="A29" s="11" t="s">
        <v>501</v>
      </c>
      <c r="B29" s="11" t="s">
        <v>164</v>
      </c>
      <c r="C29" s="11" t="s">
        <v>74</v>
      </c>
      <c r="D29" s="11" t="s">
        <v>473</v>
      </c>
      <c r="E29" s="11" t="s">
        <v>474</v>
      </c>
      <c r="F29" s="11" t="s">
        <v>471</v>
      </c>
      <c r="G29" s="11"/>
      <c r="H29" s="12" t="s">
        <v>706</v>
      </c>
      <c r="I29" s="13">
        <v>4</v>
      </c>
      <c r="J29" s="13">
        <v>4</v>
      </c>
      <c r="K29" s="13">
        <v>4</v>
      </c>
      <c r="L29" s="13">
        <v>3</v>
      </c>
      <c r="M29" s="13">
        <v>4</v>
      </c>
      <c r="N29" s="14">
        <v>3.5</v>
      </c>
      <c r="O29" s="13">
        <v>4</v>
      </c>
      <c r="P29" s="13">
        <v>4</v>
      </c>
      <c r="Q29" s="13">
        <v>4</v>
      </c>
      <c r="R29" s="13">
        <v>3</v>
      </c>
      <c r="S29" s="14">
        <v>39.35</v>
      </c>
      <c r="T29" s="13">
        <v>4</v>
      </c>
      <c r="U29" s="13">
        <v>4</v>
      </c>
      <c r="V29" s="13">
        <v>4</v>
      </c>
      <c r="W29" s="14">
        <v>3.5</v>
      </c>
      <c r="X29" s="13">
        <v>4</v>
      </c>
      <c r="Y29" s="13">
        <v>4</v>
      </c>
      <c r="Z29" s="14">
        <v>29.5</v>
      </c>
      <c r="AA29" s="13">
        <v>4</v>
      </c>
      <c r="AB29" s="14">
        <v>3.5</v>
      </c>
      <c r="AC29" s="14">
        <v>3.5</v>
      </c>
      <c r="AD29" s="14">
        <v>9.25</v>
      </c>
      <c r="AE29" s="13">
        <v>4</v>
      </c>
      <c r="AF29" s="13">
        <v>4</v>
      </c>
      <c r="AG29" s="14">
        <v>3.5</v>
      </c>
      <c r="AH29" s="14">
        <v>9.625</v>
      </c>
      <c r="AI29" s="13">
        <v>4</v>
      </c>
      <c r="AJ29" s="14">
        <v>3.5</v>
      </c>
      <c r="AK29" s="14">
        <v>4.75</v>
      </c>
      <c r="AL29" s="14">
        <v>92.475</v>
      </c>
      <c r="AM29" s="15"/>
      <c r="AN29" s="15" t="s">
        <v>707</v>
      </c>
      <c r="AO29" s="16" t="s">
        <v>708</v>
      </c>
      <c r="AP29" s="16" t="s">
        <v>708</v>
      </c>
      <c r="AQ29" s="16" t="s">
        <v>708</v>
      </c>
      <c r="AR29" s="16" t="s">
        <v>708</v>
      </c>
      <c r="AS29" s="16" t="s">
        <v>708</v>
      </c>
      <c r="AT29" s="16" t="s">
        <v>631</v>
      </c>
      <c r="AU29" s="15"/>
      <c r="AV29" s="15"/>
      <c r="AW29" s="17" t="s">
        <v>637</v>
      </c>
    </row>
    <row r="30" ht="22" customHeight="1" spans="1:49">
      <c r="A30" s="11" t="s">
        <v>502</v>
      </c>
      <c r="B30" s="11" t="s">
        <v>164</v>
      </c>
      <c r="C30" s="11" t="s">
        <v>74</v>
      </c>
      <c r="D30" s="11" t="s">
        <v>477</v>
      </c>
      <c r="E30" s="11">
        <v>2.5</v>
      </c>
      <c r="F30" s="11" t="s">
        <v>469</v>
      </c>
      <c r="G30" s="11"/>
      <c r="H30" s="12" t="s">
        <v>706</v>
      </c>
      <c r="I30" s="13">
        <v>4</v>
      </c>
      <c r="J30" s="14">
        <v>4.5</v>
      </c>
      <c r="K30" s="13">
        <v>4</v>
      </c>
      <c r="L30" s="13">
        <v>4</v>
      </c>
      <c r="M30" s="13">
        <v>4</v>
      </c>
      <c r="N30" s="13">
        <v>3</v>
      </c>
      <c r="O30" s="13">
        <v>4</v>
      </c>
      <c r="P30" s="13">
        <v>4</v>
      </c>
      <c r="Q30" s="13">
        <v>4</v>
      </c>
      <c r="R30" s="13">
        <v>4</v>
      </c>
      <c r="S30" s="14">
        <v>41.5</v>
      </c>
      <c r="T30" s="13">
        <v>4</v>
      </c>
      <c r="U30" s="13">
        <v>4</v>
      </c>
      <c r="V30" s="13">
        <v>4</v>
      </c>
      <c r="W30" s="13">
        <v>3</v>
      </c>
      <c r="X30" s="14">
        <v>3.5</v>
      </c>
      <c r="Y30" s="14">
        <v>3.5</v>
      </c>
      <c r="Z30" s="14">
        <v>28.125</v>
      </c>
      <c r="AA30" s="13">
        <v>1</v>
      </c>
      <c r="AB30" s="14">
        <v>3.5</v>
      </c>
      <c r="AC30" s="13">
        <v>4</v>
      </c>
      <c r="AD30" s="14">
        <v>6.625</v>
      </c>
      <c r="AE30" s="13">
        <v>4</v>
      </c>
      <c r="AF30" s="13">
        <v>4</v>
      </c>
      <c r="AG30" s="13">
        <v>4</v>
      </c>
      <c r="AH30" s="14">
        <v>10</v>
      </c>
      <c r="AI30" s="13">
        <v>4</v>
      </c>
      <c r="AJ30" s="14">
        <v>3.5</v>
      </c>
      <c r="AK30" s="14">
        <v>4.75</v>
      </c>
      <c r="AL30" s="14">
        <v>91</v>
      </c>
      <c r="AM30" s="15"/>
      <c r="AN30" s="15" t="s">
        <v>707</v>
      </c>
      <c r="AO30" s="16" t="s">
        <v>708</v>
      </c>
      <c r="AP30" s="16" t="s">
        <v>708</v>
      </c>
      <c r="AQ30" s="18" t="s">
        <v>710</v>
      </c>
      <c r="AR30" s="16" t="s">
        <v>708</v>
      </c>
      <c r="AS30" s="16" t="s">
        <v>708</v>
      </c>
      <c r="AT30" s="18" t="s">
        <v>632</v>
      </c>
      <c r="AU30" s="15"/>
      <c r="AV30" s="15"/>
      <c r="AW30" s="17" t="s">
        <v>715</v>
      </c>
    </row>
    <row r="31" ht="22" customHeight="1" spans="1:49">
      <c r="A31" s="11" t="s">
        <v>503</v>
      </c>
      <c r="B31" s="11" t="s">
        <v>164</v>
      </c>
      <c r="C31" s="11" t="s">
        <v>74</v>
      </c>
      <c r="D31" s="11" t="s">
        <v>477</v>
      </c>
      <c r="E31" s="11">
        <v>2.5</v>
      </c>
      <c r="F31" s="11" t="s">
        <v>471</v>
      </c>
      <c r="G31" s="11"/>
      <c r="H31" s="12" t="s">
        <v>706</v>
      </c>
      <c r="I31" s="13">
        <v>4</v>
      </c>
      <c r="J31" s="14">
        <v>4.5</v>
      </c>
      <c r="K31" s="13">
        <v>4</v>
      </c>
      <c r="L31" s="13">
        <v>4</v>
      </c>
      <c r="M31" s="13">
        <v>4</v>
      </c>
      <c r="N31" s="13">
        <v>3</v>
      </c>
      <c r="O31" s="13">
        <v>4</v>
      </c>
      <c r="P31" s="13">
        <v>4</v>
      </c>
      <c r="Q31" s="13">
        <v>4</v>
      </c>
      <c r="R31" s="13">
        <v>4</v>
      </c>
      <c r="S31" s="14">
        <v>41.5</v>
      </c>
      <c r="T31" s="13">
        <v>4</v>
      </c>
      <c r="U31" s="13">
        <v>4</v>
      </c>
      <c r="V31" s="13">
        <v>4</v>
      </c>
      <c r="W31" s="14">
        <v>3.5</v>
      </c>
      <c r="X31" s="14">
        <v>3.5</v>
      </c>
      <c r="Y31" s="13">
        <v>4</v>
      </c>
      <c r="Z31" s="14">
        <v>29</v>
      </c>
      <c r="AA31" s="13">
        <v>1</v>
      </c>
      <c r="AB31" s="14">
        <v>3.5</v>
      </c>
      <c r="AC31" s="13">
        <v>4</v>
      </c>
      <c r="AD31" s="14">
        <v>6.625</v>
      </c>
      <c r="AE31" s="13">
        <v>4</v>
      </c>
      <c r="AF31" s="13">
        <v>4</v>
      </c>
      <c r="AG31" s="13">
        <v>4</v>
      </c>
      <c r="AH31" s="14">
        <v>10</v>
      </c>
      <c r="AI31" s="13">
        <v>4</v>
      </c>
      <c r="AJ31" s="14">
        <v>3.5</v>
      </c>
      <c r="AK31" s="14">
        <v>4.75</v>
      </c>
      <c r="AL31" s="14">
        <v>91.875</v>
      </c>
      <c r="AM31" s="15"/>
      <c r="AN31" s="15" t="s">
        <v>707</v>
      </c>
      <c r="AO31" s="16" t="s">
        <v>708</v>
      </c>
      <c r="AP31" s="16" t="s">
        <v>708</v>
      </c>
      <c r="AQ31" s="18" t="s">
        <v>710</v>
      </c>
      <c r="AR31" s="16" t="s">
        <v>708</v>
      </c>
      <c r="AS31" s="16" t="s">
        <v>708</v>
      </c>
      <c r="AT31" s="18" t="s">
        <v>632</v>
      </c>
      <c r="AU31" s="15"/>
      <c r="AV31" s="15"/>
      <c r="AW31" s="17" t="s">
        <v>715</v>
      </c>
    </row>
    <row r="32" ht="22" customHeight="1" spans="1:49">
      <c r="A32" s="11" t="s">
        <v>504</v>
      </c>
      <c r="B32" s="11" t="s">
        <v>174</v>
      </c>
      <c r="C32" s="11" t="s">
        <v>81</v>
      </c>
      <c r="D32" s="11" t="s">
        <v>467</v>
      </c>
      <c r="E32" s="11" t="s">
        <v>468</v>
      </c>
      <c r="F32" s="11" t="s">
        <v>469</v>
      </c>
      <c r="G32" s="11"/>
      <c r="H32" s="12" t="s">
        <v>706</v>
      </c>
      <c r="I32" s="14">
        <v>4.5</v>
      </c>
      <c r="J32" s="14">
        <v>4.5</v>
      </c>
      <c r="K32" s="14">
        <v>4.5</v>
      </c>
      <c r="L32" s="13">
        <v>4</v>
      </c>
      <c r="M32" s="13">
        <v>4</v>
      </c>
      <c r="N32" s="13">
        <v>4</v>
      </c>
      <c r="O32" s="14">
        <v>3.5</v>
      </c>
      <c r="P32" s="13">
        <v>4</v>
      </c>
      <c r="Q32" s="13">
        <v>4</v>
      </c>
      <c r="R32" s="13">
        <v>4</v>
      </c>
      <c r="S32" s="14">
        <v>43.3</v>
      </c>
      <c r="T32" s="13">
        <v>4</v>
      </c>
      <c r="U32" s="14">
        <v>3.5</v>
      </c>
      <c r="V32" s="13">
        <v>4</v>
      </c>
      <c r="W32" s="13">
        <v>4</v>
      </c>
      <c r="X32" s="13">
        <v>4</v>
      </c>
      <c r="Y32" s="13">
        <v>4</v>
      </c>
      <c r="Z32" s="14">
        <v>29.25</v>
      </c>
      <c r="AA32" s="13">
        <v>4</v>
      </c>
      <c r="AB32" s="13">
        <v>4</v>
      </c>
      <c r="AC32" s="13">
        <v>4</v>
      </c>
      <c r="AD32" s="14">
        <v>10</v>
      </c>
      <c r="AE32" s="13">
        <v>4</v>
      </c>
      <c r="AF32" s="13">
        <v>4</v>
      </c>
      <c r="AG32" s="13">
        <v>4</v>
      </c>
      <c r="AH32" s="14">
        <v>10</v>
      </c>
      <c r="AI32" s="13">
        <v>4</v>
      </c>
      <c r="AJ32" s="14">
        <v>3.5</v>
      </c>
      <c r="AK32" s="14">
        <v>4.75</v>
      </c>
      <c r="AL32" s="14">
        <v>97.3</v>
      </c>
      <c r="AM32" s="15"/>
      <c r="AN32" s="15" t="s">
        <v>707</v>
      </c>
      <c r="AO32" s="16" t="s">
        <v>708</v>
      </c>
      <c r="AP32" s="16" t="s">
        <v>708</v>
      </c>
      <c r="AQ32" s="16" t="s">
        <v>708</v>
      </c>
      <c r="AR32" s="16" t="s">
        <v>708</v>
      </c>
      <c r="AS32" s="16" t="s">
        <v>708</v>
      </c>
      <c r="AT32" s="16" t="s">
        <v>631</v>
      </c>
      <c r="AU32" s="15"/>
      <c r="AV32" s="15"/>
      <c r="AW32" s="17" t="s">
        <v>637</v>
      </c>
    </row>
    <row r="33" ht="22" customHeight="1" spans="1:49">
      <c r="A33" s="11" t="s">
        <v>505</v>
      </c>
      <c r="B33" s="11" t="s">
        <v>174</v>
      </c>
      <c r="C33" s="11" t="s">
        <v>81</v>
      </c>
      <c r="D33" s="11" t="s">
        <v>467</v>
      </c>
      <c r="E33" s="11" t="s">
        <v>468</v>
      </c>
      <c r="F33" s="11" t="s">
        <v>471</v>
      </c>
      <c r="G33" s="11"/>
      <c r="H33" s="12" t="s">
        <v>706</v>
      </c>
      <c r="I33" s="14">
        <v>4.5</v>
      </c>
      <c r="J33" s="13">
        <v>4</v>
      </c>
      <c r="K33" s="14">
        <v>4.5</v>
      </c>
      <c r="L33" s="13">
        <v>4</v>
      </c>
      <c r="M33" s="13">
        <v>4</v>
      </c>
      <c r="N33" s="13">
        <v>4</v>
      </c>
      <c r="O33" s="14">
        <v>3.5</v>
      </c>
      <c r="P33" s="13">
        <v>4</v>
      </c>
      <c r="Q33" s="13">
        <v>4</v>
      </c>
      <c r="R33" s="13">
        <v>4</v>
      </c>
      <c r="S33" s="14">
        <v>42.9</v>
      </c>
      <c r="T33" s="13">
        <v>4</v>
      </c>
      <c r="U33" s="13">
        <v>4</v>
      </c>
      <c r="V33" s="13">
        <v>4</v>
      </c>
      <c r="W33" s="13">
        <v>4</v>
      </c>
      <c r="X33" s="13">
        <v>4</v>
      </c>
      <c r="Y33" s="13">
        <v>4</v>
      </c>
      <c r="Z33" s="14">
        <v>30</v>
      </c>
      <c r="AA33" s="13">
        <v>4</v>
      </c>
      <c r="AB33" s="13">
        <v>4</v>
      </c>
      <c r="AC33" s="13">
        <v>4</v>
      </c>
      <c r="AD33" s="14">
        <v>10</v>
      </c>
      <c r="AE33" s="13">
        <v>4</v>
      </c>
      <c r="AF33" s="13">
        <v>4</v>
      </c>
      <c r="AG33" s="13">
        <v>4</v>
      </c>
      <c r="AH33" s="14">
        <v>10</v>
      </c>
      <c r="AI33" s="13">
        <v>4</v>
      </c>
      <c r="AJ33" s="14">
        <v>3.5</v>
      </c>
      <c r="AK33" s="14">
        <v>4.75</v>
      </c>
      <c r="AL33" s="14">
        <v>97.65</v>
      </c>
      <c r="AM33" s="15"/>
      <c r="AN33" s="15" t="s">
        <v>707</v>
      </c>
      <c r="AO33" s="16" t="s">
        <v>708</v>
      </c>
      <c r="AP33" s="16" t="s">
        <v>708</v>
      </c>
      <c r="AQ33" s="16" t="s">
        <v>708</v>
      </c>
      <c r="AR33" s="16" t="s">
        <v>708</v>
      </c>
      <c r="AS33" s="16" t="s">
        <v>708</v>
      </c>
      <c r="AT33" s="16" t="s">
        <v>631</v>
      </c>
      <c r="AU33" s="15"/>
      <c r="AV33" s="15"/>
      <c r="AW33" s="17" t="s">
        <v>637</v>
      </c>
    </row>
    <row r="34" ht="22" customHeight="1" spans="1:49">
      <c r="A34" s="11" t="s">
        <v>506</v>
      </c>
      <c r="B34" s="11" t="s">
        <v>174</v>
      </c>
      <c r="C34" s="11" t="s">
        <v>81</v>
      </c>
      <c r="D34" s="11" t="s">
        <v>473</v>
      </c>
      <c r="E34" s="11" t="s">
        <v>474</v>
      </c>
      <c r="F34" s="11" t="s">
        <v>469</v>
      </c>
      <c r="G34" s="11"/>
      <c r="H34" s="12" t="s">
        <v>706</v>
      </c>
      <c r="I34" s="13">
        <v>4</v>
      </c>
      <c r="J34" s="13">
        <v>4</v>
      </c>
      <c r="K34" s="13">
        <v>4</v>
      </c>
      <c r="L34" s="13">
        <v>3</v>
      </c>
      <c r="M34" s="14">
        <v>3.5</v>
      </c>
      <c r="N34" s="13">
        <v>4</v>
      </c>
      <c r="O34" s="14">
        <v>3.5</v>
      </c>
      <c r="P34" s="14">
        <v>3.5</v>
      </c>
      <c r="Q34" s="13">
        <v>3</v>
      </c>
      <c r="R34" s="13">
        <v>4</v>
      </c>
      <c r="S34" s="14">
        <v>37.975</v>
      </c>
      <c r="T34" s="13">
        <v>4</v>
      </c>
      <c r="U34" s="14">
        <v>3.5</v>
      </c>
      <c r="V34" s="13">
        <v>3</v>
      </c>
      <c r="W34" s="14">
        <v>3.5</v>
      </c>
      <c r="X34" s="13">
        <v>4</v>
      </c>
      <c r="Y34" s="13">
        <v>4</v>
      </c>
      <c r="Z34" s="14">
        <v>27.25</v>
      </c>
      <c r="AA34" s="14">
        <v>3.5</v>
      </c>
      <c r="AB34" s="14">
        <v>3.5</v>
      </c>
      <c r="AC34" s="14">
        <v>3.5</v>
      </c>
      <c r="AD34" s="14">
        <v>8.75</v>
      </c>
      <c r="AE34" s="13">
        <v>4</v>
      </c>
      <c r="AF34" s="13">
        <v>4</v>
      </c>
      <c r="AG34" s="14">
        <v>3.5</v>
      </c>
      <c r="AH34" s="14">
        <v>9.625</v>
      </c>
      <c r="AI34" s="13">
        <v>4</v>
      </c>
      <c r="AJ34" s="14">
        <v>3.5</v>
      </c>
      <c r="AK34" s="14">
        <v>4.75</v>
      </c>
      <c r="AL34" s="14">
        <v>88.35</v>
      </c>
      <c r="AM34" s="15"/>
      <c r="AN34" s="15" t="s">
        <v>707</v>
      </c>
      <c r="AO34" s="16" t="s">
        <v>708</v>
      </c>
      <c r="AP34" s="16" t="s">
        <v>708</v>
      </c>
      <c r="AQ34" s="16" t="s">
        <v>708</v>
      </c>
      <c r="AR34" s="16" t="s">
        <v>708</v>
      </c>
      <c r="AS34" s="16" t="s">
        <v>708</v>
      </c>
      <c r="AT34" s="16" t="s">
        <v>631</v>
      </c>
      <c r="AU34" s="15"/>
      <c r="AV34" s="15"/>
      <c r="AW34" s="17" t="s">
        <v>637</v>
      </c>
    </row>
    <row r="35" ht="22" customHeight="1" spans="1:49">
      <c r="A35" s="11" t="s">
        <v>507</v>
      </c>
      <c r="B35" s="11" t="s">
        <v>174</v>
      </c>
      <c r="C35" s="11" t="s">
        <v>81</v>
      </c>
      <c r="D35" s="11" t="s">
        <v>473</v>
      </c>
      <c r="E35" s="11" t="s">
        <v>474</v>
      </c>
      <c r="F35" s="11" t="s">
        <v>471</v>
      </c>
      <c r="G35" s="11"/>
      <c r="H35" s="12" t="s">
        <v>706</v>
      </c>
      <c r="I35" s="13">
        <v>4</v>
      </c>
      <c r="J35" s="13">
        <v>4</v>
      </c>
      <c r="K35" s="13">
        <v>4</v>
      </c>
      <c r="L35" s="13">
        <v>3</v>
      </c>
      <c r="M35" s="14">
        <v>3.5</v>
      </c>
      <c r="N35" s="13">
        <v>4</v>
      </c>
      <c r="O35" s="14">
        <v>3.5</v>
      </c>
      <c r="P35" s="13">
        <v>4</v>
      </c>
      <c r="Q35" s="14">
        <v>3.5</v>
      </c>
      <c r="R35" s="14">
        <v>3.5</v>
      </c>
      <c r="S35" s="14">
        <v>38.725</v>
      </c>
      <c r="T35" s="13">
        <v>4</v>
      </c>
      <c r="U35" s="14">
        <v>3.5</v>
      </c>
      <c r="V35" s="13">
        <v>4</v>
      </c>
      <c r="W35" s="13">
        <v>4</v>
      </c>
      <c r="X35" s="13">
        <v>4</v>
      </c>
      <c r="Y35" s="14">
        <v>3.5</v>
      </c>
      <c r="Z35" s="14">
        <v>28.875</v>
      </c>
      <c r="AA35" s="14">
        <v>3.5</v>
      </c>
      <c r="AB35" s="13">
        <v>4</v>
      </c>
      <c r="AC35" s="13">
        <v>2</v>
      </c>
      <c r="AD35" s="14">
        <v>8</v>
      </c>
      <c r="AE35" s="13">
        <v>4</v>
      </c>
      <c r="AF35" s="13">
        <v>4</v>
      </c>
      <c r="AG35" s="14">
        <v>3.5</v>
      </c>
      <c r="AH35" s="14">
        <v>9.625</v>
      </c>
      <c r="AI35" s="13">
        <v>4</v>
      </c>
      <c r="AJ35" s="14">
        <v>3.5</v>
      </c>
      <c r="AK35" s="14">
        <v>4.75</v>
      </c>
      <c r="AL35" s="14">
        <v>89.975</v>
      </c>
      <c r="AM35" s="15"/>
      <c r="AN35" s="15" t="s">
        <v>707</v>
      </c>
      <c r="AO35" s="16" t="s">
        <v>708</v>
      </c>
      <c r="AP35" s="16" t="s">
        <v>708</v>
      </c>
      <c r="AQ35" s="16" t="s">
        <v>708</v>
      </c>
      <c r="AR35" s="16" t="s">
        <v>708</v>
      </c>
      <c r="AS35" s="16" t="s">
        <v>708</v>
      </c>
      <c r="AT35" s="16" t="s">
        <v>631</v>
      </c>
      <c r="AU35" s="15"/>
      <c r="AV35" s="15"/>
      <c r="AW35" s="17" t="s">
        <v>721</v>
      </c>
    </row>
    <row r="36" ht="22" customHeight="1" spans="1:49">
      <c r="A36" s="11" t="s">
        <v>508</v>
      </c>
      <c r="B36" s="11" t="s">
        <v>174</v>
      </c>
      <c r="C36" s="11" t="s">
        <v>81</v>
      </c>
      <c r="D36" s="11" t="s">
        <v>477</v>
      </c>
      <c r="E36" s="11">
        <v>2.5</v>
      </c>
      <c r="F36" s="11" t="s">
        <v>469</v>
      </c>
      <c r="G36" s="11"/>
      <c r="H36" s="12" t="s">
        <v>706</v>
      </c>
      <c r="I36" s="14">
        <v>4.5</v>
      </c>
      <c r="J36" s="13">
        <v>4</v>
      </c>
      <c r="K36" s="14">
        <v>4.5</v>
      </c>
      <c r="L36" s="13">
        <v>4</v>
      </c>
      <c r="M36" s="13">
        <v>4</v>
      </c>
      <c r="N36" s="13">
        <v>4</v>
      </c>
      <c r="O36" s="13">
        <v>4</v>
      </c>
      <c r="P36" s="13">
        <v>4</v>
      </c>
      <c r="Q36" s="14">
        <v>3.5</v>
      </c>
      <c r="R36" s="13">
        <v>4</v>
      </c>
      <c r="S36" s="14">
        <v>42.9</v>
      </c>
      <c r="T36" s="13">
        <v>4</v>
      </c>
      <c r="U36" s="14">
        <v>3.5</v>
      </c>
      <c r="V36" s="13">
        <v>4</v>
      </c>
      <c r="W36" s="13">
        <v>4</v>
      </c>
      <c r="X36" s="13">
        <v>4</v>
      </c>
      <c r="Y36" s="13">
        <v>4</v>
      </c>
      <c r="Z36" s="14">
        <v>29.25</v>
      </c>
      <c r="AA36" s="13">
        <v>1</v>
      </c>
      <c r="AB36" s="14">
        <v>3.5</v>
      </c>
      <c r="AC36" s="13">
        <v>4</v>
      </c>
      <c r="AD36" s="14">
        <v>6.625</v>
      </c>
      <c r="AE36" s="13">
        <v>4</v>
      </c>
      <c r="AF36" s="13">
        <v>4</v>
      </c>
      <c r="AG36" s="13">
        <v>4</v>
      </c>
      <c r="AH36" s="14">
        <v>10</v>
      </c>
      <c r="AI36" s="13">
        <v>4</v>
      </c>
      <c r="AJ36" s="14">
        <v>3.5</v>
      </c>
      <c r="AK36" s="14">
        <v>4.75</v>
      </c>
      <c r="AL36" s="14">
        <v>93.525</v>
      </c>
      <c r="AM36" s="15"/>
      <c r="AN36" s="15" t="s">
        <v>707</v>
      </c>
      <c r="AO36" s="16" t="s">
        <v>708</v>
      </c>
      <c r="AP36" s="16" t="s">
        <v>708</v>
      </c>
      <c r="AQ36" s="18" t="s">
        <v>710</v>
      </c>
      <c r="AR36" s="16" t="s">
        <v>708</v>
      </c>
      <c r="AS36" s="16" t="s">
        <v>708</v>
      </c>
      <c r="AT36" s="18" t="s">
        <v>632</v>
      </c>
      <c r="AU36" s="15"/>
      <c r="AV36" s="15"/>
      <c r="AW36" s="17" t="s">
        <v>715</v>
      </c>
    </row>
    <row r="37" ht="22" customHeight="1" spans="1:49">
      <c r="A37" s="11" t="s">
        <v>509</v>
      </c>
      <c r="B37" s="11" t="s">
        <v>174</v>
      </c>
      <c r="C37" s="11" t="s">
        <v>81</v>
      </c>
      <c r="D37" s="11" t="s">
        <v>477</v>
      </c>
      <c r="E37" s="11">
        <v>2.5</v>
      </c>
      <c r="F37" s="11" t="s">
        <v>471</v>
      </c>
      <c r="G37" s="11"/>
      <c r="H37" s="12" t="s">
        <v>706</v>
      </c>
      <c r="I37" s="14">
        <v>4.5</v>
      </c>
      <c r="J37" s="13">
        <v>4</v>
      </c>
      <c r="K37" s="14">
        <v>4.5</v>
      </c>
      <c r="L37" s="13">
        <v>4</v>
      </c>
      <c r="M37" s="13">
        <v>4</v>
      </c>
      <c r="N37" s="13">
        <v>4</v>
      </c>
      <c r="O37" s="13">
        <v>4</v>
      </c>
      <c r="P37" s="13">
        <v>4</v>
      </c>
      <c r="Q37" s="14">
        <v>3.5</v>
      </c>
      <c r="R37" s="13">
        <v>4</v>
      </c>
      <c r="S37" s="14">
        <v>42.9</v>
      </c>
      <c r="T37" s="13">
        <v>4</v>
      </c>
      <c r="U37" s="14">
        <v>3.5</v>
      </c>
      <c r="V37" s="13">
        <v>4</v>
      </c>
      <c r="W37" s="13">
        <v>4</v>
      </c>
      <c r="X37" s="13">
        <v>4</v>
      </c>
      <c r="Y37" s="13">
        <v>4</v>
      </c>
      <c r="Z37" s="14">
        <v>29.25</v>
      </c>
      <c r="AA37" s="13">
        <v>1</v>
      </c>
      <c r="AB37" s="14">
        <v>3.5</v>
      </c>
      <c r="AC37" s="13">
        <v>4</v>
      </c>
      <c r="AD37" s="14">
        <v>6.625</v>
      </c>
      <c r="AE37" s="13">
        <v>4</v>
      </c>
      <c r="AF37" s="13">
        <v>4</v>
      </c>
      <c r="AG37" s="13">
        <v>4</v>
      </c>
      <c r="AH37" s="14">
        <v>10</v>
      </c>
      <c r="AI37" s="13">
        <v>4</v>
      </c>
      <c r="AJ37" s="14">
        <v>3.5</v>
      </c>
      <c r="AK37" s="14">
        <v>4.75</v>
      </c>
      <c r="AL37" s="14">
        <v>93.525</v>
      </c>
      <c r="AM37" s="15"/>
      <c r="AN37" s="15" t="s">
        <v>707</v>
      </c>
      <c r="AO37" s="16" t="s">
        <v>708</v>
      </c>
      <c r="AP37" s="16" t="s">
        <v>708</v>
      </c>
      <c r="AQ37" s="18" t="s">
        <v>710</v>
      </c>
      <c r="AR37" s="16" t="s">
        <v>708</v>
      </c>
      <c r="AS37" s="16" t="s">
        <v>708</v>
      </c>
      <c r="AT37" s="18" t="s">
        <v>632</v>
      </c>
      <c r="AU37" s="15"/>
      <c r="AV37" s="15"/>
      <c r="AW37" s="17" t="s">
        <v>715</v>
      </c>
    </row>
    <row r="38" ht="22" customHeight="1" spans="1:49">
      <c r="A38" s="11" t="s">
        <v>510</v>
      </c>
      <c r="B38" s="11" t="s">
        <v>183</v>
      </c>
      <c r="C38" s="11" t="s">
        <v>88</v>
      </c>
      <c r="D38" s="11" t="s">
        <v>467</v>
      </c>
      <c r="E38" s="11" t="s">
        <v>468</v>
      </c>
      <c r="F38" s="11" t="s">
        <v>469</v>
      </c>
      <c r="G38" s="11"/>
      <c r="H38" s="12" t="s">
        <v>706</v>
      </c>
      <c r="I38" s="13">
        <v>3</v>
      </c>
      <c r="J38" s="14">
        <v>4.5</v>
      </c>
      <c r="K38" s="14">
        <v>4.5</v>
      </c>
      <c r="L38" s="14">
        <v>3.5</v>
      </c>
      <c r="M38" s="13">
        <v>4</v>
      </c>
      <c r="N38" s="14">
        <v>3.5</v>
      </c>
      <c r="O38" s="13">
        <v>4</v>
      </c>
      <c r="P38" s="13">
        <v>4</v>
      </c>
      <c r="Q38" s="13">
        <v>4</v>
      </c>
      <c r="R38" s="13">
        <v>4</v>
      </c>
      <c r="S38" s="14">
        <v>40.85</v>
      </c>
      <c r="T38" s="13">
        <v>4</v>
      </c>
      <c r="U38" s="13">
        <v>4</v>
      </c>
      <c r="V38" s="13">
        <v>4</v>
      </c>
      <c r="W38" s="13">
        <v>4</v>
      </c>
      <c r="X38" s="13">
        <v>4</v>
      </c>
      <c r="Y38" s="13">
        <v>4</v>
      </c>
      <c r="Z38" s="14">
        <v>30</v>
      </c>
      <c r="AA38" s="13">
        <v>4</v>
      </c>
      <c r="AB38" s="13">
        <v>4</v>
      </c>
      <c r="AC38" s="13">
        <v>4</v>
      </c>
      <c r="AD38" s="14">
        <v>10</v>
      </c>
      <c r="AE38" s="13">
        <v>4</v>
      </c>
      <c r="AF38" s="13">
        <v>4</v>
      </c>
      <c r="AG38" s="13">
        <v>4</v>
      </c>
      <c r="AH38" s="14">
        <v>10</v>
      </c>
      <c r="AI38" s="13">
        <v>4</v>
      </c>
      <c r="AJ38" s="14">
        <v>3.5</v>
      </c>
      <c r="AK38" s="14">
        <v>4.75</v>
      </c>
      <c r="AL38" s="14">
        <v>95.6</v>
      </c>
      <c r="AM38" s="15"/>
      <c r="AN38" s="15" t="s">
        <v>707</v>
      </c>
      <c r="AO38" s="16" t="s">
        <v>708</v>
      </c>
      <c r="AP38" s="16" t="s">
        <v>708</v>
      </c>
      <c r="AQ38" s="16" t="s">
        <v>708</v>
      </c>
      <c r="AR38" s="16" t="s">
        <v>708</v>
      </c>
      <c r="AS38" s="16" t="s">
        <v>708</v>
      </c>
      <c r="AT38" s="16" t="s">
        <v>631</v>
      </c>
      <c r="AU38" s="15"/>
      <c r="AV38" s="15"/>
      <c r="AW38" s="17" t="s">
        <v>637</v>
      </c>
    </row>
    <row r="39" ht="22" customHeight="1" spans="1:49">
      <c r="A39" s="11" t="s">
        <v>511</v>
      </c>
      <c r="B39" s="11" t="s">
        <v>183</v>
      </c>
      <c r="C39" s="11" t="s">
        <v>88</v>
      </c>
      <c r="D39" s="11" t="s">
        <v>467</v>
      </c>
      <c r="E39" s="11" t="s">
        <v>468</v>
      </c>
      <c r="F39" s="11" t="s">
        <v>471</v>
      </c>
      <c r="G39" s="11"/>
      <c r="H39" s="12" t="s">
        <v>706</v>
      </c>
      <c r="I39" s="14">
        <v>3.5</v>
      </c>
      <c r="J39" s="14">
        <v>4.5</v>
      </c>
      <c r="K39" s="14">
        <v>4.5</v>
      </c>
      <c r="L39" s="14">
        <v>3.5</v>
      </c>
      <c r="M39" s="13">
        <v>4</v>
      </c>
      <c r="N39" s="13">
        <v>4</v>
      </c>
      <c r="O39" s="13">
        <v>4</v>
      </c>
      <c r="P39" s="13">
        <v>4</v>
      </c>
      <c r="Q39" s="13">
        <v>4</v>
      </c>
      <c r="R39" s="13">
        <v>4</v>
      </c>
      <c r="S39" s="14">
        <v>42</v>
      </c>
      <c r="T39" s="13">
        <v>4</v>
      </c>
      <c r="U39" s="13">
        <v>4</v>
      </c>
      <c r="V39" s="13">
        <v>4</v>
      </c>
      <c r="W39" s="13">
        <v>4</v>
      </c>
      <c r="X39" s="13">
        <v>4</v>
      </c>
      <c r="Y39" s="13">
        <v>4</v>
      </c>
      <c r="Z39" s="14">
        <v>30</v>
      </c>
      <c r="AA39" s="13">
        <v>4</v>
      </c>
      <c r="AB39" s="13">
        <v>4</v>
      </c>
      <c r="AC39" s="13">
        <v>4</v>
      </c>
      <c r="AD39" s="14">
        <v>10</v>
      </c>
      <c r="AE39" s="13">
        <v>4</v>
      </c>
      <c r="AF39" s="13">
        <v>4</v>
      </c>
      <c r="AG39" s="13">
        <v>4</v>
      </c>
      <c r="AH39" s="14">
        <v>10</v>
      </c>
      <c r="AI39" s="13">
        <v>4</v>
      </c>
      <c r="AJ39" s="14">
        <v>3.5</v>
      </c>
      <c r="AK39" s="14">
        <v>4.75</v>
      </c>
      <c r="AL39" s="14">
        <v>96.75</v>
      </c>
      <c r="AM39" s="15"/>
      <c r="AN39" s="15" t="s">
        <v>707</v>
      </c>
      <c r="AO39" s="16" t="s">
        <v>708</v>
      </c>
      <c r="AP39" s="16" t="s">
        <v>708</v>
      </c>
      <c r="AQ39" s="16" t="s">
        <v>708</v>
      </c>
      <c r="AR39" s="16" t="s">
        <v>708</v>
      </c>
      <c r="AS39" s="16" t="s">
        <v>708</v>
      </c>
      <c r="AT39" s="16" t="s">
        <v>631</v>
      </c>
      <c r="AU39" s="15"/>
      <c r="AV39" s="15"/>
      <c r="AW39" s="17" t="s">
        <v>637</v>
      </c>
    </row>
    <row r="40" ht="22" customHeight="1" spans="1:49">
      <c r="A40" s="11" t="s">
        <v>512</v>
      </c>
      <c r="B40" s="11" t="s">
        <v>183</v>
      </c>
      <c r="C40" s="11" t="s">
        <v>88</v>
      </c>
      <c r="D40" s="11" t="s">
        <v>473</v>
      </c>
      <c r="E40" s="11" t="s">
        <v>474</v>
      </c>
      <c r="F40" s="11" t="s">
        <v>469</v>
      </c>
      <c r="G40" s="11"/>
      <c r="H40" s="12" t="s">
        <v>706</v>
      </c>
      <c r="I40" s="13">
        <v>3</v>
      </c>
      <c r="J40" s="14">
        <v>4.5</v>
      </c>
      <c r="K40" s="14">
        <v>3.5</v>
      </c>
      <c r="L40" s="13">
        <v>3</v>
      </c>
      <c r="M40" s="13">
        <v>4</v>
      </c>
      <c r="N40" s="13">
        <v>3</v>
      </c>
      <c r="O40" s="13">
        <v>4</v>
      </c>
      <c r="P40" s="13">
        <v>4</v>
      </c>
      <c r="Q40" s="14">
        <v>3.5</v>
      </c>
      <c r="R40" s="13">
        <v>4</v>
      </c>
      <c r="S40" s="14">
        <v>37.8</v>
      </c>
      <c r="T40" s="13">
        <v>4</v>
      </c>
      <c r="U40" s="13">
        <v>4</v>
      </c>
      <c r="V40" s="13">
        <v>4</v>
      </c>
      <c r="W40" s="13">
        <v>4</v>
      </c>
      <c r="X40" s="13">
        <v>4</v>
      </c>
      <c r="Y40" s="13">
        <v>4</v>
      </c>
      <c r="Z40" s="14">
        <v>30</v>
      </c>
      <c r="AA40" s="14">
        <v>3.5</v>
      </c>
      <c r="AB40" s="14">
        <v>3.5</v>
      </c>
      <c r="AC40" s="14">
        <v>3.5</v>
      </c>
      <c r="AD40" s="14">
        <v>8.75</v>
      </c>
      <c r="AE40" s="13">
        <v>4</v>
      </c>
      <c r="AF40" s="13">
        <v>4</v>
      </c>
      <c r="AG40" s="14">
        <v>3.5</v>
      </c>
      <c r="AH40" s="14">
        <v>9.625</v>
      </c>
      <c r="AI40" s="13">
        <v>4</v>
      </c>
      <c r="AJ40" s="14">
        <v>3.5</v>
      </c>
      <c r="AK40" s="14">
        <v>4.75</v>
      </c>
      <c r="AL40" s="14">
        <v>90.925</v>
      </c>
      <c r="AM40" s="15"/>
      <c r="AN40" s="15" t="s">
        <v>707</v>
      </c>
      <c r="AO40" s="16" t="s">
        <v>708</v>
      </c>
      <c r="AP40" s="16" t="s">
        <v>708</v>
      </c>
      <c r="AQ40" s="16" t="s">
        <v>708</v>
      </c>
      <c r="AR40" s="16" t="s">
        <v>708</v>
      </c>
      <c r="AS40" s="16" t="s">
        <v>708</v>
      </c>
      <c r="AT40" s="16" t="s">
        <v>631</v>
      </c>
      <c r="AU40" s="15"/>
      <c r="AV40" s="15"/>
      <c r="AW40" s="17" t="s">
        <v>637</v>
      </c>
    </row>
    <row r="41" ht="22" customHeight="1" spans="1:49">
      <c r="A41" s="11" t="s">
        <v>514</v>
      </c>
      <c r="B41" s="11" t="s">
        <v>183</v>
      </c>
      <c r="C41" s="11" t="s">
        <v>88</v>
      </c>
      <c r="D41" s="11" t="s">
        <v>473</v>
      </c>
      <c r="E41" s="11" t="s">
        <v>474</v>
      </c>
      <c r="F41" s="11" t="s">
        <v>471</v>
      </c>
      <c r="G41" s="11"/>
      <c r="H41" s="12" t="s">
        <v>706</v>
      </c>
      <c r="I41" s="13">
        <v>4</v>
      </c>
      <c r="J41" s="14">
        <v>4.5</v>
      </c>
      <c r="K41" s="13">
        <v>4</v>
      </c>
      <c r="L41" s="13">
        <v>3</v>
      </c>
      <c r="M41" s="13">
        <v>4</v>
      </c>
      <c r="N41" s="13">
        <v>4</v>
      </c>
      <c r="O41" s="14">
        <v>3.5</v>
      </c>
      <c r="P41" s="13">
        <v>4</v>
      </c>
      <c r="Q41" s="14">
        <v>3.5</v>
      </c>
      <c r="R41" s="13">
        <v>4</v>
      </c>
      <c r="S41" s="14">
        <v>40</v>
      </c>
      <c r="T41" s="13">
        <v>4</v>
      </c>
      <c r="U41" s="13">
        <v>3</v>
      </c>
      <c r="V41" s="13">
        <v>4</v>
      </c>
      <c r="W41" s="13">
        <v>4</v>
      </c>
      <c r="X41" s="13">
        <v>4</v>
      </c>
      <c r="Y41" s="13">
        <v>4</v>
      </c>
      <c r="Z41" s="14">
        <v>28.5</v>
      </c>
      <c r="AA41" s="14">
        <v>3.5</v>
      </c>
      <c r="AB41" s="14">
        <v>3.5</v>
      </c>
      <c r="AC41" s="14">
        <v>3.5</v>
      </c>
      <c r="AD41" s="14">
        <v>8.75</v>
      </c>
      <c r="AE41" s="13">
        <v>4</v>
      </c>
      <c r="AF41" s="13">
        <v>4</v>
      </c>
      <c r="AG41" s="14">
        <v>3.5</v>
      </c>
      <c r="AH41" s="14">
        <v>9.625</v>
      </c>
      <c r="AI41" s="13">
        <v>4</v>
      </c>
      <c r="AJ41" s="14">
        <v>3.5</v>
      </c>
      <c r="AK41" s="14">
        <v>4.75</v>
      </c>
      <c r="AL41" s="14">
        <v>91.625</v>
      </c>
      <c r="AM41" s="15"/>
      <c r="AN41" s="15" t="s">
        <v>707</v>
      </c>
      <c r="AO41" s="16" t="s">
        <v>708</v>
      </c>
      <c r="AP41" s="16" t="s">
        <v>708</v>
      </c>
      <c r="AQ41" s="16" t="s">
        <v>708</v>
      </c>
      <c r="AR41" s="16" t="s">
        <v>708</v>
      </c>
      <c r="AS41" s="16" t="s">
        <v>708</v>
      </c>
      <c r="AT41" s="16" t="s">
        <v>631</v>
      </c>
      <c r="AU41" s="15"/>
      <c r="AV41" s="15"/>
      <c r="AW41" s="17" t="s">
        <v>637</v>
      </c>
    </row>
    <row r="42" ht="22" customHeight="1" spans="1:49">
      <c r="A42" s="11" t="s">
        <v>515</v>
      </c>
      <c r="B42" s="11" t="s">
        <v>183</v>
      </c>
      <c r="C42" s="11" t="s">
        <v>88</v>
      </c>
      <c r="D42" s="11" t="s">
        <v>477</v>
      </c>
      <c r="E42" s="11">
        <v>2.5</v>
      </c>
      <c r="F42" s="11" t="s">
        <v>469</v>
      </c>
      <c r="G42" s="11"/>
      <c r="H42" s="12" t="s">
        <v>706</v>
      </c>
      <c r="I42" s="13">
        <v>4</v>
      </c>
      <c r="J42" s="13">
        <v>5</v>
      </c>
      <c r="K42" s="14">
        <v>4.5</v>
      </c>
      <c r="L42" s="13">
        <v>4</v>
      </c>
      <c r="M42" s="13">
        <v>4</v>
      </c>
      <c r="N42" s="14">
        <v>3.5</v>
      </c>
      <c r="O42" s="13">
        <v>4</v>
      </c>
      <c r="P42" s="13">
        <v>4</v>
      </c>
      <c r="Q42" s="13">
        <v>4</v>
      </c>
      <c r="R42" s="13">
        <v>4</v>
      </c>
      <c r="S42" s="14">
        <v>43.05</v>
      </c>
      <c r="T42" s="13">
        <v>4</v>
      </c>
      <c r="U42" s="14">
        <v>2.5</v>
      </c>
      <c r="V42" s="13">
        <v>4</v>
      </c>
      <c r="W42" s="13">
        <v>4</v>
      </c>
      <c r="X42" s="13">
        <v>4</v>
      </c>
      <c r="Y42" s="13">
        <v>4</v>
      </c>
      <c r="Z42" s="14">
        <v>27.75</v>
      </c>
      <c r="AA42" s="13">
        <v>1</v>
      </c>
      <c r="AB42" s="14">
        <v>3.5</v>
      </c>
      <c r="AC42" s="13">
        <v>4</v>
      </c>
      <c r="AD42" s="14">
        <v>6.625</v>
      </c>
      <c r="AE42" s="13">
        <v>4</v>
      </c>
      <c r="AF42" s="13">
        <v>4</v>
      </c>
      <c r="AG42" s="13">
        <v>4</v>
      </c>
      <c r="AH42" s="14">
        <v>10</v>
      </c>
      <c r="AI42" s="13">
        <v>4</v>
      </c>
      <c r="AJ42" s="14">
        <v>3.5</v>
      </c>
      <c r="AK42" s="14">
        <v>4.75</v>
      </c>
      <c r="AL42" s="14">
        <v>92.175</v>
      </c>
      <c r="AM42" s="15"/>
      <c r="AN42" s="15" t="s">
        <v>707</v>
      </c>
      <c r="AO42" s="16" t="s">
        <v>708</v>
      </c>
      <c r="AP42" s="16" t="s">
        <v>708</v>
      </c>
      <c r="AQ42" s="18" t="s">
        <v>710</v>
      </c>
      <c r="AR42" s="16" t="s">
        <v>708</v>
      </c>
      <c r="AS42" s="16" t="s">
        <v>708</v>
      </c>
      <c r="AT42" s="18" t="s">
        <v>632</v>
      </c>
      <c r="AU42" s="15"/>
      <c r="AV42" s="15"/>
      <c r="AW42" s="17" t="s">
        <v>715</v>
      </c>
    </row>
    <row r="43" ht="22" customHeight="1" spans="1:49">
      <c r="A43" s="11" t="s">
        <v>516</v>
      </c>
      <c r="B43" s="11" t="s">
        <v>183</v>
      </c>
      <c r="C43" s="11" t="s">
        <v>88</v>
      </c>
      <c r="D43" s="11" t="s">
        <v>477</v>
      </c>
      <c r="E43" s="11">
        <v>2.5</v>
      </c>
      <c r="F43" s="11" t="s">
        <v>471</v>
      </c>
      <c r="G43" s="11"/>
      <c r="H43" s="12" t="s">
        <v>706</v>
      </c>
      <c r="I43" s="13">
        <v>4</v>
      </c>
      <c r="J43" s="13">
        <v>5</v>
      </c>
      <c r="K43" s="14">
        <v>4.5</v>
      </c>
      <c r="L43" s="13">
        <v>4</v>
      </c>
      <c r="M43" s="13">
        <v>4</v>
      </c>
      <c r="N43" s="14">
        <v>3.5</v>
      </c>
      <c r="O43" s="13">
        <v>4</v>
      </c>
      <c r="P43" s="13">
        <v>4</v>
      </c>
      <c r="Q43" s="13">
        <v>4</v>
      </c>
      <c r="R43" s="13">
        <v>4</v>
      </c>
      <c r="S43" s="14">
        <v>43.05</v>
      </c>
      <c r="T43" s="13">
        <v>4</v>
      </c>
      <c r="U43" s="14">
        <v>2.5</v>
      </c>
      <c r="V43" s="13">
        <v>4</v>
      </c>
      <c r="W43" s="13">
        <v>4</v>
      </c>
      <c r="X43" s="13">
        <v>4</v>
      </c>
      <c r="Y43" s="13">
        <v>4</v>
      </c>
      <c r="Z43" s="14">
        <v>27.75</v>
      </c>
      <c r="AA43" s="13">
        <v>1</v>
      </c>
      <c r="AB43" s="14">
        <v>3.5</v>
      </c>
      <c r="AC43" s="13">
        <v>4</v>
      </c>
      <c r="AD43" s="14">
        <v>6.625</v>
      </c>
      <c r="AE43" s="13">
        <v>4</v>
      </c>
      <c r="AF43" s="13">
        <v>4</v>
      </c>
      <c r="AG43" s="13">
        <v>4</v>
      </c>
      <c r="AH43" s="14">
        <v>10</v>
      </c>
      <c r="AI43" s="13">
        <v>4</v>
      </c>
      <c r="AJ43" s="14">
        <v>3.5</v>
      </c>
      <c r="AK43" s="14">
        <v>4.75</v>
      </c>
      <c r="AL43" s="14">
        <v>92.175</v>
      </c>
      <c r="AM43" s="15"/>
      <c r="AN43" s="15" t="s">
        <v>707</v>
      </c>
      <c r="AO43" s="16" t="s">
        <v>708</v>
      </c>
      <c r="AP43" s="16" t="s">
        <v>708</v>
      </c>
      <c r="AQ43" s="18" t="s">
        <v>710</v>
      </c>
      <c r="AR43" s="16" t="s">
        <v>708</v>
      </c>
      <c r="AS43" s="16" t="s">
        <v>708</v>
      </c>
      <c r="AT43" s="18" t="s">
        <v>632</v>
      </c>
      <c r="AU43" s="15"/>
      <c r="AV43" s="15"/>
      <c r="AW43" s="17" t="s">
        <v>715</v>
      </c>
    </row>
    <row r="44" ht="22" customHeight="1" spans="1:49">
      <c r="A44" s="11" t="s">
        <v>517</v>
      </c>
      <c r="B44" s="11" t="s">
        <v>192</v>
      </c>
      <c r="C44" s="11" t="s">
        <v>95</v>
      </c>
      <c r="D44" s="11" t="s">
        <v>467</v>
      </c>
      <c r="E44" s="11" t="s">
        <v>468</v>
      </c>
      <c r="F44" s="11" t="s">
        <v>469</v>
      </c>
      <c r="G44" s="11"/>
      <c r="H44" s="12" t="s">
        <v>706</v>
      </c>
      <c r="I44" s="14">
        <v>4.5</v>
      </c>
      <c r="J44" s="14">
        <v>4.5</v>
      </c>
      <c r="K44" s="14">
        <v>4.5</v>
      </c>
      <c r="L44" s="14">
        <v>3.5</v>
      </c>
      <c r="M44" s="13">
        <v>4</v>
      </c>
      <c r="N44" s="13">
        <v>4</v>
      </c>
      <c r="O44" s="14">
        <v>3.5</v>
      </c>
      <c r="P44" s="13">
        <v>4</v>
      </c>
      <c r="Q44" s="13">
        <v>4</v>
      </c>
      <c r="R44" s="14">
        <v>2.5</v>
      </c>
      <c r="S44" s="14">
        <v>41.55</v>
      </c>
      <c r="T44" s="13">
        <v>4</v>
      </c>
      <c r="U44" s="13">
        <v>3</v>
      </c>
      <c r="V44" s="13">
        <v>4</v>
      </c>
      <c r="W44" s="14">
        <v>3.5</v>
      </c>
      <c r="X44" s="13">
        <v>4</v>
      </c>
      <c r="Y44" s="14">
        <v>2.5</v>
      </c>
      <c r="Z44" s="14">
        <v>26.875</v>
      </c>
      <c r="AA44" s="13">
        <v>4</v>
      </c>
      <c r="AB44" s="13">
        <v>4</v>
      </c>
      <c r="AC44" s="13">
        <v>4</v>
      </c>
      <c r="AD44" s="14">
        <v>10</v>
      </c>
      <c r="AE44" s="14">
        <v>3.5</v>
      </c>
      <c r="AF44" s="13">
        <v>4</v>
      </c>
      <c r="AG44" s="13">
        <v>4</v>
      </c>
      <c r="AH44" s="14">
        <v>9.5</v>
      </c>
      <c r="AI44" s="13">
        <v>4</v>
      </c>
      <c r="AJ44" s="14">
        <v>3.5</v>
      </c>
      <c r="AK44" s="14">
        <v>4.75</v>
      </c>
      <c r="AL44" s="14">
        <v>92.675</v>
      </c>
      <c r="AM44" s="15"/>
      <c r="AN44" s="15" t="s">
        <v>707</v>
      </c>
      <c r="AO44" s="16" t="s">
        <v>708</v>
      </c>
      <c r="AP44" s="16" t="s">
        <v>708</v>
      </c>
      <c r="AQ44" s="16" t="s">
        <v>708</v>
      </c>
      <c r="AR44" s="16" t="s">
        <v>708</v>
      </c>
      <c r="AS44" s="16" t="s">
        <v>708</v>
      </c>
      <c r="AT44" s="16" t="s">
        <v>631</v>
      </c>
      <c r="AU44" s="15"/>
      <c r="AV44" s="15"/>
      <c r="AW44" s="17" t="s">
        <v>637</v>
      </c>
    </row>
    <row r="45" ht="22" customHeight="1" spans="1:49">
      <c r="A45" s="11" t="s">
        <v>518</v>
      </c>
      <c r="B45" s="11" t="s">
        <v>192</v>
      </c>
      <c r="C45" s="11" t="s">
        <v>95</v>
      </c>
      <c r="D45" s="11" t="s">
        <v>467</v>
      </c>
      <c r="E45" s="11" t="s">
        <v>468</v>
      </c>
      <c r="F45" s="11" t="s">
        <v>471</v>
      </c>
      <c r="G45" s="11"/>
      <c r="H45" s="12" t="s">
        <v>706</v>
      </c>
      <c r="I45" s="14">
        <v>4.5</v>
      </c>
      <c r="J45" s="14">
        <v>4.5</v>
      </c>
      <c r="K45" s="14">
        <v>4.5</v>
      </c>
      <c r="L45" s="14">
        <v>3.5</v>
      </c>
      <c r="M45" s="13">
        <v>4</v>
      </c>
      <c r="N45" s="13">
        <v>4</v>
      </c>
      <c r="O45" s="14">
        <v>3.5</v>
      </c>
      <c r="P45" s="13">
        <v>4</v>
      </c>
      <c r="Q45" s="13">
        <v>4</v>
      </c>
      <c r="R45" s="14">
        <v>2.5</v>
      </c>
      <c r="S45" s="14">
        <v>41.55</v>
      </c>
      <c r="T45" s="13">
        <v>4</v>
      </c>
      <c r="U45" s="13">
        <v>4</v>
      </c>
      <c r="V45" s="13">
        <v>4</v>
      </c>
      <c r="W45" s="13">
        <v>4</v>
      </c>
      <c r="X45" s="13">
        <v>4</v>
      </c>
      <c r="Y45" s="14">
        <v>3.5</v>
      </c>
      <c r="Z45" s="14">
        <v>29.625</v>
      </c>
      <c r="AA45" s="13">
        <v>4</v>
      </c>
      <c r="AB45" s="13">
        <v>4</v>
      </c>
      <c r="AC45" s="13">
        <v>4</v>
      </c>
      <c r="AD45" s="14">
        <v>10</v>
      </c>
      <c r="AE45" s="13">
        <v>4</v>
      </c>
      <c r="AF45" s="13">
        <v>4</v>
      </c>
      <c r="AG45" s="13">
        <v>4</v>
      </c>
      <c r="AH45" s="14">
        <v>10</v>
      </c>
      <c r="AI45" s="13">
        <v>4</v>
      </c>
      <c r="AJ45" s="14">
        <v>3.5</v>
      </c>
      <c r="AK45" s="14">
        <v>4.75</v>
      </c>
      <c r="AL45" s="14">
        <v>95.925</v>
      </c>
      <c r="AM45" s="15"/>
      <c r="AN45" s="15" t="s">
        <v>707</v>
      </c>
      <c r="AO45" s="16" t="s">
        <v>708</v>
      </c>
      <c r="AP45" s="16" t="s">
        <v>708</v>
      </c>
      <c r="AQ45" s="16" t="s">
        <v>708</v>
      </c>
      <c r="AR45" s="16" t="s">
        <v>708</v>
      </c>
      <c r="AS45" s="16" t="s">
        <v>708</v>
      </c>
      <c r="AT45" s="16" t="s">
        <v>631</v>
      </c>
      <c r="AU45" s="15"/>
      <c r="AV45" s="15"/>
      <c r="AW45" s="17" t="s">
        <v>637</v>
      </c>
    </row>
    <row r="46" ht="22" customHeight="1" spans="1:49">
      <c r="A46" s="11" t="s">
        <v>519</v>
      </c>
      <c r="B46" s="11" t="s">
        <v>192</v>
      </c>
      <c r="C46" s="11" t="s">
        <v>95</v>
      </c>
      <c r="D46" s="11" t="s">
        <v>473</v>
      </c>
      <c r="E46" s="11" t="s">
        <v>474</v>
      </c>
      <c r="F46" s="11" t="s">
        <v>469</v>
      </c>
      <c r="G46" s="11"/>
      <c r="H46" s="12" t="s">
        <v>706</v>
      </c>
      <c r="I46" s="13">
        <v>5</v>
      </c>
      <c r="J46" s="14">
        <v>4.5</v>
      </c>
      <c r="K46" s="13">
        <v>4</v>
      </c>
      <c r="L46" s="13">
        <v>4</v>
      </c>
      <c r="M46" s="13">
        <v>4</v>
      </c>
      <c r="N46" s="13">
        <v>4</v>
      </c>
      <c r="O46" s="14">
        <v>2.5</v>
      </c>
      <c r="P46" s="13">
        <v>4</v>
      </c>
      <c r="Q46" s="13">
        <v>4</v>
      </c>
      <c r="R46" s="13">
        <v>4</v>
      </c>
      <c r="S46" s="14">
        <v>42.3</v>
      </c>
      <c r="T46" s="13">
        <v>4</v>
      </c>
      <c r="U46" s="13">
        <v>3</v>
      </c>
      <c r="V46" s="13">
        <v>4</v>
      </c>
      <c r="W46" s="14">
        <v>3.5</v>
      </c>
      <c r="X46" s="13">
        <v>4</v>
      </c>
      <c r="Y46" s="13">
        <v>3</v>
      </c>
      <c r="Z46" s="14">
        <v>27.25</v>
      </c>
      <c r="AA46" s="13">
        <v>4</v>
      </c>
      <c r="AB46" s="13">
        <v>4</v>
      </c>
      <c r="AC46" s="13">
        <v>2</v>
      </c>
      <c r="AD46" s="14">
        <v>8.5</v>
      </c>
      <c r="AE46" s="14">
        <v>3.5</v>
      </c>
      <c r="AF46" s="14">
        <v>3.5</v>
      </c>
      <c r="AG46" s="14">
        <v>3.5</v>
      </c>
      <c r="AH46" s="14">
        <v>8.75</v>
      </c>
      <c r="AI46" s="13">
        <v>4</v>
      </c>
      <c r="AJ46" s="14">
        <v>3.5</v>
      </c>
      <c r="AK46" s="14">
        <v>4.75</v>
      </c>
      <c r="AL46" s="14">
        <v>91.55</v>
      </c>
      <c r="AM46" s="15"/>
      <c r="AN46" s="15" t="s">
        <v>707</v>
      </c>
      <c r="AO46" s="16" t="s">
        <v>708</v>
      </c>
      <c r="AP46" s="16" t="s">
        <v>708</v>
      </c>
      <c r="AQ46" s="16" t="s">
        <v>708</v>
      </c>
      <c r="AR46" s="16" t="s">
        <v>708</v>
      </c>
      <c r="AS46" s="16" t="s">
        <v>708</v>
      </c>
      <c r="AT46" s="16" t="s">
        <v>631</v>
      </c>
      <c r="AU46" s="15"/>
      <c r="AV46" s="15"/>
      <c r="AW46" s="17" t="s">
        <v>722</v>
      </c>
    </row>
    <row r="47" ht="22" customHeight="1" spans="1:49">
      <c r="A47" s="11" t="s">
        <v>520</v>
      </c>
      <c r="B47" s="11" t="s">
        <v>192</v>
      </c>
      <c r="C47" s="11" t="s">
        <v>95</v>
      </c>
      <c r="D47" s="11" t="s">
        <v>473</v>
      </c>
      <c r="E47" s="11" t="s">
        <v>474</v>
      </c>
      <c r="F47" s="11" t="s">
        <v>471</v>
      </c>
      <c r="G47" s="11"/>
      <c r="H47" s="12" t="s">
        <v>706</v>
      </c>
      <c r="I47" s="14">
        <v>4.5</v>
      </c>
      <c r="J47" s="14">
        <v>4.5</v>
      </c>
      <c r="K47" s="13">
        <v>4</v>
      </c>
      <c r="L47" s="13">
        <v>4</v>
      </c>
      <c r="M47" s="13">
        <v>4</v>
      </c>
      <c r="N47" s="13">
        <v>4</v>
      </c>
      <c r="O47" s="14">
        <v>2.5</v>
      </c>
      <c r="P47" s="13">
        <v>4</v>
      </c>
      <c r="Q47" s="13">
        <v>4</v>
      </c>
      <c r="R47" s="13">
        <v>4</v>
      </c>
      <c r="S47" s="14">
        <v>41.9</v>
      </c>
      <c r="T47" s="13">
        <v>4</v>
      </c>
      <c r="U47" s="13">
        <v>4</v>
      </c>
      <c r="V47" s="13">
        <v>4</v>
      </c>
      <c r="W47" s="13">
        <v>4</v>
      </c>
      <c r="X47" s="13">
        <v>4</v>
      </c>
      <c r="Y47" s="13">
        <v>4</v>
      </c>
      <c r="Z47" s="14">
        <v>30</v>
      </c>
      <c r="AA47" s="13">
        <v>4</v>
      </c>
      <c r="AB47" s="13">
        <v>4</v>
      </c>
      <c r="AC47" s="13">
        <v>2</v>
      </c>
      <c r="AD47" s="14">
        <v>8.5</v>
      </c>
      <c r="AE47" s="13">
        <v>4</v>
      </c>
      <c r="AF47" s="13">
        <v>4</v>
      </c>
      <c r="AG47" s="14">
        <v>3.5</v>
      </c>
      <c r="AH47" s="14">
        <v>9.625</v>
      </c>
      <c r="AI47" s="13">
        <v>4</v>
      </c>
      <c r="AJ47" s="14">
        <v>3.5</v>
      </c>
      <c r="AK47" s="14">
        <v>4.75</v>
      </c>
      <c r="AL47" s="14">
        <v>94.775</v>
      </c>
      <c r="AM47" s="15"/>
      <c r="AN47" s="15" t="s">
        <v>707</v>
      </c>
      <c r="AO47" s="16" t="s">
        <v>708</v>
      </c>
      <c r="AP47" s="16" t="s">
        <v>708</v>
      </c>
      <c r="AQ47" s="16" t="s">
        <v>708</v>
      </c>
      <c r="AR47" s="16" t="s">
        <v>708</v>
      </c>
      <c r="AS47" s="16" t="s">
        <v>708</v>
      </c>
      <c r="AT47" s="16" t="s">
        <v>631</v>
      </c>
      <c r="AU47" s="15"/>
      <c r="AV47" s="15"/>
      <c r="AW47" s="17" t="s">
        <v>723</v>
      </c>
    </row>
    <row r="48" ht="22" customHeight="1" spans="1:49">
      <c r="A48" s="11" t="s">
        <v>521</v>
      </c>
      <c r="B48" s="11" t="s">
        <v>192</v>
      </c>
      <c r="C48" s="11" t="s">
        <v>95</v>
      </c>
      <c r="D48" s="11" t="s">
        <v>477</v>
      </c>
      <c r="E48" s="11">
        <v>2.5</v>
      </c>
      <c r="F48" s="11" t="s">
        <v>469</v>
      </c>
      <c r="G48" s="11"/>
      <c r="H48" s="12" t="s">
        <v>706</v>
      </c>
      <c r="I48" s="13">
        <v>5</v>
      </c>
      <c r="J48" s="14">
        <v>4.5</v>
      </c>
      <c r="K48" s="14">
        <v>4.5</v>
      </c>
      <c r="L48" s="14">
        <v>3.5</v>
      </c>
      <c r="M48" s="13">
        <v>4</v>
      </c>
      <c r="N48" s="13">
        <v>4</v>
      </c>
      <c r="O48" s="14">
        <v>3.5</v>
      </c>
      <c r="P48" s="13">
        <v>4</v>
      </c>
      <c r="Q48" s="13">
        <v>4</v>
      </c>
      <c r="R48" s="13">
        <v>4</v>
      </c>
      <c r="S48" s="14">
        <v>42.7</v>
      </c>
      <c r="T48" s="13">
        <v>4</v>
      </c>
      <c r="U48" s="13">
        <v>4</v>
      </c>
      <c r="V48" s="13">
        <v>4</v>
      </c>
      <c r="W48" s="13">
        <v>4</v>
      </c>
      <c r="X48" s="13">
        <v>4</v>
      </c>
      <c r="Y48" s="13">
        <v>4</v>
      </c>
      <c r="Z48" s="14">
        <v>30</v>
      </c>
      <c r="AA48" s="13">
        <v>1</v>
      </c>
      <c r="AB48" s="14">
        <v>3.5</v>
      </c>
      <c r="AC48" s="13">
        <v>4</v>
      </c>
      <c r="AD48" s="14">
        <v>6.625</v>
      </c>
      <c r="AE48" s="13">
        <v>4</v>
      </c>
      <c r="AF48" s="13">
        <v>4</v>
      </c>
      <c r="AG48" s="13">
        <v>4</v>
      </c>
      <c r="AH48" s="14">
        <v>10</v>
      </c>
      <c r="AI48" s="13">
        <v>4</v>
      </c>
      <c r="AJ48" s="14">
        <v>3.5</v>
      </c>
      <c r="AK48" s="14">
        <v>4.75</v>
      </c>
      <c r="AL48" s="14">
        <v>94.075</v>
      </c>
      <c r="AM48" s="15"/>
      <c r="AN48" s="15" t="s">
        <v>707</v>
      </c>
      <c r="AO48" s="16" t="s">
        <v>708</v>
      </c>
      <c r="AP48" s="16" t="s">
        <v>708</v>
      </c>
      <c r="AQ48" s="18" t="s">
        <v>710</v>
      </c>
      <c r="AR48" s="16" t="s">
        <v>708</v>
      </c>
      <c r="AS48" s="16" t="s">
        <v>708</v>
      </c>
      <c r="AT48" s="18" t="s">
        <v>632</v>
      </c>
      <c r="AU48" s="15"/>
      <c r="AV48" s="15"/>
      <c r="AW48" s="17" t="s">
        <v>724</v>
      </c>
    </row>
    <row r="49" ht="22" customHeight="1" spans="1:49">
      <c r="A49" s="11" t="s">
        <v>522</v>
      </c>
      <c r="B49" s="11" t="s">
        <v>192</v>
      </c>
      <c r="C49" s="11" t="s">
        <v>95</v>
      </c>
      <c r="D49" s="11" t="s">
        <v>477</v>
      </c>
      <c r="E49" s="11">
        <v>2.5</v>
      </c>
      <c r="F49" s="11" t="s">
        <v>471</v>
      </c>
      <c r="G49" s="11"/>
      <c r="H49" s="12" t="s">
        <v>706</v>
      </c>
      <c r="I49" s="13">
        <v>5</v>
      </c>
      <c r="J49" s="14">
        <v>4.5</v>
      </c>
      <c r="K49" s="14">
        <v>4.5</v>
      </c>
      <c r="L49" s="14">
        <v>3.5</v>
      </c>
      <c r="M49" s="13">
        <v>4</v>
      </c>
      <c r="N49" s="13">
        <v>4</v>
      </c>
      <c r="O49" s="14">
        <v>3.5</v>
      </c>
      <c r="P49" s="13">
        <v>4</v>
      </c>
      <c r="Q49" s="13">
        <v>4</v>
      </c>
      <c r="R49" s="14">
        <v>2.5</v>
      </c>
      <c r="S49" s="14">
        <v>41.95</v>
      </c>
      <c r="T49" s="13">
        <v>4</v>
      </c>
      <c r="U49" s="13">
        <v>4</v>
      </c>
      <c r="V49" s="13">
        <v>4</v>
      </c>
      <c r="W49" s="13">
        <v>4</v>
      </c>
      <c r="X49" s="13">
        <v>4</v>
      </c>
      <c r="Y49" s="13">
        <v>4</v>
      </c>
      <c r="Z49" s="14">
        <v>30</v>
      </c>
      <c r="AA49" s="13">
        <v>1</v>
      </c>
      <c r="AB49" s="14">
        <v>3.5</v>
      </c>
      <c r="AC49" s="13">
        <v>4</v>
      </c>
      <c r="AD49" s="14">
        <v>6.625</v>
      </c>
      <c r="AE49" s="13">
        <v>4</v>
      </c>
      <c r="AF49" s="13">
        <v>4</v>
      </c>
      <c r="AG49" s="13">
        <v>4</v>
      </c>
      <c r="AH49" s="14">
        <v>10</v>
      </c>
      <c r="AI49" s="13">
        <v>4</v>
      </c>
      <c r="AJ49" s="14">
        <v>3.5</v>
      </c>
      <c r="AK49" s="14">
        <v>4.75</v>
      </c>
      <c r="AL49" s="14">
        <v>93.325</v>
      </c>
      <c r="AM49" s="15"/>
      <c r="AN49" s="15" t="s">
        <v>707</v>
      </c>
      <c r="AO49" s="16" t="s">
        <v>708</v>
      </c>
      <c r="AP49" s="16" t="s">
        <v>708</v>
      </c>
      <c r="AQ49" s="18" t="s">
        <v>710</v>
      </c>
      <c r="AR49" s="16" t="s">
        <v>708</v>
      </c>
      <c r="AS49" s="16" t="s">
        <v>708</v>
      </c>
      <c r="AT49" s="18" t="s">
        <v>632</v>
      </c>
      <c r="AU49" s="15"/>
      <c r="AV49" s="15"/>
      <c r="AW49" s="17" t="s">
        <v>715</v>
      </c>
    </row>
    <row r="50" ht="22" customHeight="1" spans="1:49">
      <c r="A50" s="11" t="s">
        <v>523</v>
      </c>
      <c r="B50" s="11" t="s">
        <v>201</v>
      </c>
      <c r="C50" s="11" t="s">
        <v>102</v>
      </c>
      <c r="D50" s="11" t="s">
        <v>467</v>
      </c>
      <c r="E50" s="11" t="s">
        <v>468</v>
      </c>
      <c r="F50" s="11" t="s">
        <v>469</v>
      </c>
      <c r="G50" s="11"/>
      <c r="H50" s="12" t="s">
        <v>706</v>
      </c>
      <c r="I50" s="14">
        <v>4.5</v>
      </c>
      <c r="J50" s="14">
        <v>4.5</v>
      </c>
      <c r="K50" s="14">
        <v>4.5</v>
      </c>
      <c r="L50" s="14">
        <v>3.5</v>
      </c>
      <c r="M50" s="13">
        <v>4</v>
      </c>
      <c r="N50" s="13">
        <v>4</v>
      </c>
      <c r="O50" s="13">
        <v>4</v>
      </c>
      <c r="P50" s="13">
        <v>4</v>
      </c>
      <c r="Q50" s="14">
        <v>3.5</v>
      </c>
      <c r="R50" s="13">
        <v>4</v>
      </c>
      <c r="S50" s="14">
        <v>42.3</v>
      </c>
      <c r="T50" s="14">
        <v>3.5</v>
      </c>
      <c r="U50" s="13">
        <v>4</v>
      </c>
      <c r="V50" s="13">
        <v>4</v>
      </c>
      <c r="W50" s="13">
        <v>4</v>
      </c>
      <c r="X50" s="13">
        <v>4</v>
      </c>
      <c r="Y50" s="13">
        <v>4</v>
      </c>
      <c r="Z50" s="14">
        <v>29.125</v>
      </c>
      <c r="AA50" s="13">
        <v>4</v>
      </c>
      <c r="AB50" s="13">
        <v>4</v>
      </c>
      <c r="AC50" s="13">
        <v>4</v>
      </c>
      <c r="AD50" s="14">
        <v>10</v>
      </c>
      <c r="AE50" s="13">
        <v>4</v>
      </c>
      <c r="AF50" s="13">
        <v>4</v>
      </c>
      <c r="AG50" s="13">
        <v>4</v>
      </c>
      <c r="AH50" s="14">
        <v>10</v>
      </c>
      <c r="AI50" s="13">
        <v>4</v>
      </c>
      <c r="AJ50" s="13">
        <v>4</v>
      </c>
      <c r="AK50" s="14">
        <v>5</v>
      </c>
      <c r="AL50" s="14">
        <v>96.425</v>
      </c>
      <c r="AM50" s="15"/>
      <c r="AN50" s="15" t="s">
        <v>707</v>
      </c>
      <c r="AO50" s="16" t="s">
        <v>708</v>
      </c>
      <c r="AP50" s="16" t="s">
        <v>708</v>
      </c>
      <c r="AQ50" s="16" t="s">
        <v>708</v>
      </c>
      <c r="AR50" s="16" t="s">
        <v>708</v>
      </c>
      <c r="AS50" s="16" t="s">
        <v>708</v>
      </c>
      <c r="AT50" s="16" t="s">
        <v>631</v>
      </c>
      <c r="AU50" s="15"/>
      <c r="AV50" s="15"/>
      <c r="AW50" s="17" t="s">
        <v>637</v>
      </c>
    </row>
    <row r="51" ht="22" customHeight="1" spans="1:49">
      <c r="A51" s="11" t="s">
        <v>524</v>
      </c>
      <c r="B51" s="11" t="s">
        <v>201</v>
      </c>
      <c r="C51" s="11" t="s">
        <v>102</v>
      </c>
      <c r="D51" s="11" t="s">
        <v>467</v>
      </c>
      <c r="E51" s="11" t="s">
        <v>468</v>
      </c>
      <c r="F51" s="11" t="s">
        <v>471</v>
      </c>
      <c r="G51" s="11"/>
      <c r="H51" s="12" t="s">
        <v>706</v>
      </c>
      <c r="I51" s="14">
        <v>4.5</v>
      </c>
      <c r="J51" s="14">
        <v>4.5</v>
      </c>
      <c r="K51" s="14">
        <v>4.5</v>
      </c>
      <c r="L51" s="14">
        <v>3.5</v>
      </c>
      <c r="M51" s="13">
        <v>4</v>
      </c>
      <c r="N51" s="13">
        <v>4</v>
      </c>
      <c r="O51" s="13">
        <v>4</v>
      </c>
      <c r="P51" s="13">
        <v>4</v>
      </c>
      <c r="Q51" s="14">
        <v>3.5</v>
      </c>
      <c r="R51" s="13">
        <v>4</v>
      </c>
      <c r="S51" s="14">
        <v>42.3</v>
      </c>
      <c r="T51" s="13">
        <v>4</v>
      </c>
      <c r="U51" s="13">
        <v>4</v>
      </c>
      <c r="V51" s="13">
        <v>4</v>
      </c>
      <c r="W51" s="13">
        <v>4</v>
      </c>
      <c r="X51" s="13">
        <v>4</v>
      </c>
      <c r="Y51" s="13">
        <v>4</v>
      </c>
      <c r="Z51" s="14">
        <v>30</v>
      </c>
      <c r="AA51" s="13">
        <v>4</v>
      </c>
      <c r="AB51" s="13">
        <v>4</v>
      </c>
      <c r="AC51" s="13">
        <v>4</v>
      </c>
      <c r="AD51" s="14">
        <v>10</v>
      </c>
      <c r="AE51" s="13">
        <v>4</v>
      </c>
      <c r="AF51" s="13">
        <v>4</v>
      </c>
      <c r="AG51" s="13">
        <v>4</v>
      </c>
      <c r="AH51" s="14">
        <v>10</v>
      </c>
      <c r="AI51" s="13">
        <v>4</v>
      </c>
      <c r="AJ51" s="14">
        <v>3.5</v>
      </c>
      <c r="AK51" s="14">
        <v>4.75</v>
      </c>
      <c r="AL51" s="14">
        <v>97.05</v>
      </c>
      <c r="AM51" s="15"/>
      <c r="AN51" s="15" t="s">
        <v>707</v>
      </c>
      <c r="AO51" s="16" t="s">
        <v>708</v>
      </c>
      <c r="AP51" s="16" t="s">
        <v>708</v>
      </c>
      <c r="AQ51" s="16" t="s">
        <v>708</v>
      </c>
      <c r="AR51" s="16" t="s">
        <v>708</v>
      </c>
      <c r="AS51" s="16" t="s">
        <v>708</v>
      </c>
      <c r="AT51" s="16" t="s">
        <v>631</v>
      </c>
      <c r="AU51" s="15"/>
      <c r="AV51" s="15"/>
      <c r="AW51" s="17" t="s">
        <v>637</v>
      </c>
    </row>
    <row r="52" ht="22" customHeight="1" spans="1:49">
      <c r="A52" s="11" t="s">
        <v>525</v>
      </c>
      <c r="B52" s="11" t="s">
        <v>201</v>
      </c>
      <c r="C52" s="11" t="s">
        <v>102</v>
      </c>
      <c r="D52" s="11" t="s">
        <v>473</v>
      </c>
      <c r="E52" s="11" t="s">
        <v>474</v>
      </c>
      <c r="F52" s="11" t="s">
        <v>469</v>
      </c>
      <c r="G52" s="11"/>
      <c r="H52" s="12" t="s">
        <v>706</v>
      </c>
      <c r="I52" s="13">
        <v>4</v>
      </c>
      <c r="J52" s="13">
        <v>4</v>
      </c>
      <c r="K52" s="13">
        <v>4</v>
      </c>
      <c r="L52" s="13">
        <v>3</v>
      </c>
      <c r="M52" s="13">
        <v>4</v>
      </c>
      <c r="N52" s="14">
        <v>3.5</v>
      </c>
      <c r="O52" s="13">
        <v>4</v>
      </c>
      <c r="P52" s="13">
        <v>4</v>
      </c>
      <c r="Q52" s="14">
        <v>3.5</v>
      </c>
      <c r="R52" s="14">
        <v>3.5</v>
      </c>
      <c r="S52" s="14">
        <v>39.1</v>
      </c>
      <c r="T52" s="13">
        <v>4</v>
      </c>
      <c r="U52" s="13">
        <v>4</v>
      </c>
      <c r="V52" s="13">
        <v>4</v>
      </c>
      <c r="W52" s="13">
        <v>4</v>
      </c>
      <c r="X52" s="13">
        <v>4</v>
      </c>
      <c r="Y52" s="13">
        <v>4</v>
      </c>
      <c r="Z52" s="14">
        <v>30</v>
      </c>
      <c r="AA52" s="13">
        <v>4</v>
      </c>
      <c r="AB52" s="14">
        <v>3.5</v>
      </c>
      <c r="AC52" s="14">
        <v>3.5</v>
      </c>
      <c r="AD52" s="14">
        <v>9.25</v>
      </c>
      <c r="AE52" s="13">
        <v>4</v>
      </c>
      <c r="AF52" s="13">
        <v>4</v>
      </c>
      <c r="AG52" s="13">
        <v>3</v>
      </c>
      <c r="AH52" s="14">
        <v>9.25</v>
      </c>
      <c r="AI52" s="13">
        <v>4</v>
      </c>
      <c r="AJ52" s="14">
        <v>3.5</v>
      </c>
      <c r="AK52" s="14">
        <v>4.75</v>
      </c>
      <c r="AL52" s="14">
        <v>92.35</v>
      </c>
      <c r="AM52" s="15"/>
      <c r="AN52" s="15" t="s">
        <v>707</v>
      </c>
      <c r="AO52" s="16" t="s">
        <v>708</v>
      </c>
      <c r="AP52" s="16" t="s">
        <v>708</v>
      </c>
      <c r="AQ52" s="16" t="s">
        <v>708</v>
      </c>
      <c r="AR52" s="16" t="s">
        <v>708</v>
      </c>
      <c r="AS52" s="16" t="s">
        <v>708</v>
      </c>
      <c r="AT52" s="16" t="s">
        <v>631</v>
      </c>
      <c r="AU52" s="15"/>
      <c r="AV52" s="15"/>
      <c r="AW52" s="17" t="s">
        <v>637</v>
      </c>
    </row>
    <row r="53" ht="22" customHeight="1" spans="1:49">
      <c r="A53" s="11" t="s">
        <v>526</v>
      </c>
      <c r="B53" s="11" t="s">
        <v>201</v>
      </c>
      <c r="C53" s="11" t="s">
        <v>102</v>
      </c>
      <c r="D53" s="11" t="s">
        <v>473</v>
      </c>
      <c r="E53" s="11" t="s">
        <v>474</v>
      </c>
      <c r="F53" s="11" t="s">
        <v>471</v>
      </c>
      <c r="G53" s="11"/>
      <c r="H53" s="12" t="s">
        <v>706</v>
      </c>
      <c r="I53" s="13">
        <v>4</v>
      </c>
      <c r="J53" s="13">
        <v>4</v>
      </c>
      <c r="K53" s="13">
        <v>4</v>
      </c>
      <c r="L53" s="13">
        <v>3</v>
      </c>
      <c r="M53" s="13">
        <v>4</v>
      </c>
      <c r="N53" s="14">
        <v>3.5</v>
      </c>
      <c r="O53" s="13">
        <v>4</v>
      </c>
      <c r="P53" s="13">
        <v>4</v>
      </c>
      <c r="Q53" s="14">
        <v>3.5</v>
      </c>
      <c r="R53" s="14">
        <v>3.5</v>
      </c>
      <c r="S53" s="14">
        <v>39.1</v>
      </c>
      <c r="T53" s="13">
        <v>4</v>
      </c>
      <c r="U53" s="13">
        <v>4</v>
      </c>
      <c r="V53" s="13">
        <v>4</v>
      </c>
      <c r="W53" s="13">
        <v>4</v>
      </c>
      <c r="X53" s="13">
        <v>4</v>
      </c>
      <c r="Y53" s="13">
        <v>4</v>
      </c>
      <c r="Z53" s="14">
        <v>30</v>
      </c>
      <c r="AA53" s="13">
        <v>4</v>
      </c>
      <c r="AB53" s="14">
        <v>3.5</v>
      </c>
      <c r="AC53" s="14">
        <v>3.5</v>
      </c>
      <c r="AD53" s="14">
        <v>9.25</v>
      </c>
      <c r="AE53" s="13">
        <v>4</v>
      </c>
      <c r="AF53" s="13">
        <v>4</v>
      </c>
      <c r="AG53" s="13">
        <v>3</v>
      </c>
      <c r="AH53" s="14">
        <v>9.25</v>
      </c>
      <c r="AI53" s="13">
        <v>4</v>
      </c>
      <c r="AJ53" s="14">
        <v>3.5</v>
      </c>
      <c r="AK53" s="14">
        <v>4.75</v>
      </c>
      <c r="AL53" s="14">
        <v>92.35</v>
      </c>
      <c r="AM53" s="15"/>
      <c r="AN53" s="15" t="s">
        <v>707</v>
      </c>
      <c r="AO53" s="16" t="s">
        <v>708</v>
      </c>
      <c r="AP53" s="16" t="s">
        <v>708</v>
      </c>
      <c r="AQ53" s="16" t="s">
        <v>708</v>
      </c>
      <c r="AR53" s="16" t="s">
        <v>708</v>
      </c>
      <c r="AS53" s="16" t="s">
        <v>708</v>
      </c>
      <c r="AT53" s="16" t="s">
        <v>631</v>
      </c>
      <c r="AU53" s="15"/>
      <c r="AV53" s="15"/>
      <c r="AW53" s="17" t="s">
        <v>637</v>
      </c>
    </row>
    <row r="54" ht="22" customHeight="1" spans="1:49">
      <c r="A54" s="11" t="s">
        <v>527</v>
      </c>
      <c r="B54" s="11" t="s">
        <v>201</v>
      </c>
      <c r="C54" s="11" t="s">
        <v>102</v>
      </c>
      <c r="D54" s="11" t="s">
        <v>477</v>
      </c>
      <c r="E54" s="11">
        <v>2.5</v>
      </c>
      <c r="F54" s="11" t="s">
        <v>469</v>
      </c>
      <c r="G54" s="11"/>
      <c r="H54" s="12" t="s">
        <v>706</v>
      </c>
      <c r="I54" s="14">
        <v>4.5</v>
      </c>
      <c r="J54" s="14">
        <v>4.5</v>
      </c>
      <c r="K54" s="14">
        <v>4.5</v>
      </c>
      <c r="L54" s="13">
        <v>4</v>
      </c>
      <c r="M54" s="13">
        <v>4</v>
      </c>
      <c r="N54" s="13">
        <v>4</v>
      </c>
      <c r="O54" s="13">
        <v>4</v>
      </c>
      <c r="P54" s="13">
        <v>4</v>
      </c>
      <c r="Q54" s="13">
        <v>4</v>
      </c>
      <c r="R54" s="13">
        <v>4</v>
      </c>
      <c r="S54" s="14">
        <v>43.8</v>
      </c>
      <c r="T54" s="13">
        <v>3</v>
      </c>
      <c r="U54" s="13">
        <v>4</v>
      </c>
      <c r="V54" s="13">
        <v>4</v>
      </c>
      <c r="W54" s="14">
        <v>3.5</v>
      </c>
      <c r="X54" s="13">
        <v>4</v>
      </c>
      <c r="Y54" s="13">
        <v>3</v>
      </c>
      <c r="Z54" s="14">
        <v>27</v>
      </c>
      <c r="AA54" s="13">
        <v>1</v>
      </c>
      <c r="AB54" s="14">
        <v>3.5</v>
      </c>
      <c r="AC54" s="13">
        <v>4</v>
      </c>
      <c r="AD54" s="14">
        <v>6.625</v>
      </c>
      <c r="AE54" s="13">
        <v>4</v>
      </c>
      <c r="AF54" s="13">
        <v>4</v>
      </c>
      <c r="AG54" s="13">
        <v>4</v>
      </c>
      <c r="AH54" s="14">
        <v>10</v>
      </c>
      <c r="AI54" s="13">
        <v>4</v>
      </c>
      <c r="AJ54" s="14">
        <v>3.5</v>
      </c>
      <c r="AK54" s="14">
        <v>4.75</v>
      </c>
      <c r="AL54" s="14">
        <v>92.175</v>
      </c>
      <c r="AM54" s="15"/>
      <c r="AN54" s="15" t="s">
        <v>707</v>
      </c>
      <c r="AO54" s="16" t="s">
        <v>708</v>
      </c>
      <c r="AP54" s="16" t="s">
        <v>708</v>
      </c>
      <c r="AQ54" s="18" t="s">
        <v>710</v>
      </c>
      <c r="AR54" s="16" t="s">
        <v>708</v>
      </c>
      <c r="AS54" s="16" t="s">
        <v>708</v>
      </c>
      <c r="AT54" s="18" t="s">
        <v>632</v>
      </c>
      <c r="AU54" s="15"/>
      <c r="AV54" s="15"/>
      <c r="AW54" s="17" t="s">
        <v>715</v>
      </c>
    </row>
    <row r="55" ht="22" customHeight="1" spans="1:49">
      <c r="A55" s="11" t="s">
        <v>528</v>
      </c>
      <c r="B55" s="11" t="s">
        <v>201</v>
      </c>
      <c r="C55" s="11" t="s">
        <v>102</v>
      </c>
      <c r="D55" s="11" t="s">
        <v>477</v>
      </c>
      <c r="E55" s="11">
        <v>2.5</v>
      </c>
      <c r="F55" s="11" t="s">
        <v>471</v>
      </c>
      <c r="G55" s="11"/>
      <c r="H55" s="12" t="s">
        <v>706</v>
      </c>
      <c r="I55" s="14">
        <v>4.5</v>
      </c>
      <c r="J55" s="14">
        <v>4.5</v>
      </c>
      <c r="K55" s="14">
        <v>4.5</v>
      </c>
      <c r="L55" s="13">
        <v>4</v>
      </c>
      <c r="M55" s="13">
        <v>4</v>
      </c>
      <c r="N55" s="13">
        <v>4</v>
      </c>
      <c r="O55" s="13">
        <v>4</v>
      </c>
      <c r="P55" s="13">
        <v>4</v>
      </c>
      <c r="Q55" s="13">
        <v>4</v>
      </c>
      <c r="R55" s="13">
        <v>4</v>
      </c>
      <c r="S55" s="14">
        <v>43.8</v>
      </c>
      <c r="T55" s="13">
        <v>3</v>
      </c>
      <c r="U55" s="13">
        <v>4</v>
      </c>
      <c r="V55" s="13">
        <v>4</v>
      </c>
      <c r="W55" s="14">
        <v>3.5</v>
      </c>
      <c r="X55" s="13">
        <v>4</v>
      </c>
      <c r="Y55" s="13">
        <v>3</v>
      </c>
      <c r="Z55" s="14">
        <v>27</v>
      </c>
      <c r="AA55" s="13">
        <v>1</v>
      </c>
      <c r="AB55" s="14">
        <v>3.5</v>
      </c>
      <c r="AC55" s="13">
        <v>4</v>
      </c>
      <c r="AD55" s="14">
        <v>6.625</v>
      </c>
      <c r="AE55" s="13">
        <v>4</v>
      </c>
      <c r="AF55" s="13">
        <v>4</v>
      </c>
      <c r="AG55" s="13">
        <v>4</v>
      </c>
      <c r="AH55" s="14">
        <v>10</v>
      </c>
      <c r="AI55" s="13">
        <v>4</v>
      </c>
      <c r="AJ55" s="13">
        <v>4</v>
      </c>
      <c r="AK55" s="14">
        <v>5</v>
      </c>
      <c r="AL55" s="14">
        <v>92.425</v>
      </c>
      <c r="AM55" s="15"/>
      <c r="AN55" s="15" t="s">
        <v>707</v>
      </c>
      <c r="AO55" s="16" t="s">
        <v>708</v>
      </c>
      <c r="AP55" s="16" t="s">
        <v>708</v>
      </c>
      <c r="AQ55" s="18" t="s">
        <v>710</v>
      </c>
      <c r="AR55" s="16" t="s">
        <v>708</v>
      </c>
      <c r="AS55" s="16" t="s">
        <v>708</v>
      </c>
      <c r="AT55" s="18" t="s">
        <v>632</v>
      </c>
      <c r="AU55" s="15"/>
      <c r="AV55" s="15"/>
      <c r="AW55" s="17" t="s">
        <v>715</v>
      </c>
    </row>
    <row r="56" ht="22" customHeight="1" spans="1:49">
      <c r="A56" s="11" t="s">
        <v>529</v>
      </c>
      <c r="B56" s="11" t="s">
        <v>210</v>
      </c>
      <c r="C56" s="11" t="s">
        <v>109</v>
      </c>
      <c r="D56" s="11" t="s">
        <v>467</v>
      </c>
      <c r="E56" s="11" t="s">
        <v>468</v>
      </c>
      <c r="F56" s="11" t="s">
        <v>469</v>
      </c>
      <c r="G56" s="11"/>
      <c r="H56" s="12" t="s">
        <v>706</v>
      </c>
      <c r="I56" s="13">
        <v>5</v>
      </c>
      <c r="J56" s="14">
        <v>4.5</v>
      </c>
      <c r="K56" s="13">
        <v>3</v>
      </c>
      <c r="L56" s="13">
        <v>3</v>
      </c>
      <c r="M56" s="13">
        <v>4</v>
      </c>
      <c r="N56" s="13">
        <v>4</v>
      </c>
      <c r="O56" s="13">
        <v>3</v>
      </c>
      <c r="P56" s="14">
        <v>3.5</v>
      </c>
      <c r="Q56" s="13">
        <v>4</v>
      </c>
      <c r="R56" s="13">
        <v>4</v>
      </c>
      <c r="S56" s="14">
        <v>39.5</v>
      </c>
      <c r="T56" s="13">
        <v>4</v>
      </c>
      <c r="U56" s="13">
        <v>4</v>
      </c>
      <c r="V56" s="13">
        <v>4</v>
      </c>
      <c r="W56" s="13">
        <v>4</v>
      </c>
      <c r="X56" s="13">
        <v>4</v>
      </c>
      <c r="Y56" s="13">
        <v>4</v>
      </c>
      <c r="Z56" s="14">
        <v>30</v>
      </c>
      <c r="AA56" s="13">
        <v>4</v>
      </c>
      <c r="AB56" s="13">
        <v>4</v>
      </c>
      <c r="AC56" s="13">
        <v>4</v>
      </c>
      <c r="AD56" s="14">
        <v>10</v>
      </c>
      <c r="AE56" s="13">
        <v>4</v>
      </c>
      <c r="AF56" s="13">
        <v>4</v>
      </c>
      <c r="AG56" s="13">
        <v>4</v>
      </c>
      <c r="AH56" s="14">
        <v>10</v>
      </c>
      <c r="AI56" s="13">
        <v>4</v>
      </c>
      <c r="AJ56" s="13">
        <v>4</v>
      </c>
      <c r="AK56" s="14">
        <v>5</v>
      </c>
      <c r="AL56" s="14">
        <v>94.5</v>
      </c>
      <c r="AM56" s="15"/>
      <c r="AN56" s="15" t="s">
        <v>707</v>
      </c>
      <c r="AO56" s="16" t="s">
        <v>708</v>
      </c>
      <c r="AP56" s="16" t="s">
        <v>708</v>
      </c>
      <c r="AQ56" s="16" t="s">
        <v>708</v>
      </c>
      <c r="AR56" s="16" t="s">
        <v>708</v>
      </c>
      <c r="AS56" s="16" t="s">
        <v>708</v>
      </c>
      <c r="AT56" s="16" t="s">
        <v>631</v>
      </c>
      <c r="AU56" s="15"/>
      <c r="AV56" s="15"/>
      <c r="AW56" s="17" t="s">
        <v>637</v>
      </c>
    </row>
    <row r="57" ht="22" customHeight="1" spans="1:49">
      <c r="A57" s="11" t="s">
        <v>530</v>
      </c>
      <c r="B57" s="11" t="s">
        <v>210</v>
      </c>
      <c r="C57" s="11" t="s">
        <v>109</v>
      </c>
      <c r="D57" s="11" t="s">
        <v>467</v>
      </c>
      <c r="E57" s="11" t="s">
        <v>468</v>
      </c>
      <c r="F57" s="11" t="s">
        <v>471</v>
      </c>
      <c r="G57" s="11"/>
      <c r="H57" s="12" t="s">
        <v>706</v>
      </c>
      <c r="I57" s="13">
        <v>5</v>
      </c>
      <c r="J57" s="13">
        <v>4</v>
      </c>
      <c r="K57" s="13">
        <v>3</v>
      </c>
      <c r="L57" s="13">
        <v>3</v>
      </c>
      <c r="M57" s="14">
        <v>3.5</v>
      </c>
      <c r="N57" s="13">
        <v>4</v>
      </c>
      <c r="O57" s="13">
        <v>3</v>
      </c>
      <c r="P57" s="14">
        <v>3.5</v>
      </c>
      <c r="Q57" s="13">
        <v>4</v>
      </c>
      <c r="R57" s="13">
        <v>4</v>
      </c>
      <c r="S57" s="14">
        <v>38.475</v>
      </c>
      <c r="T57" s="13">
        <v>4</v>
      </c>
      <c r="U57" s="13">
        <v>4</v>
      </c>
      <c r="V57" s="13">
        <v>4</v>
      </c>
      <c r="W57" s="13">
        <v>3</v>
      </c>
      <c r="X57" s="13">
        <v>4</v>
      </c>
      <c r="Y57" s="13">
        <v>4</v>
      </c>
      <c r="Z57" s="14">
        <v>29</v>
      </c>
      <c r="AA57" s="13">
        <v>4</v>
      </c>
      <c r="AB57" s="13">
        <v>4</v>
      </c>
      <c r="AC57" s="13">
        <v>4</v>
      </c>
      <c r="AD57" s="14">
        <v>10</v>
      </c>
      <c r="AE57" s="13">
        <v>4</v>
      </c>
      <c r="AF57" s="13">
        <v>4</v>
      </c>
      <c r="AG57" s="14">
        <v>3.5</v>
      </c>
      <c r="AH57" s="14">
        <v>9.625</v>
      </c>
      <c r="AI57" s="13">
        <v>4</v>
      </c>
      <c r="AJ57" s="13">
        <v>4</v>
      </c>
      <c r="AK57" s="14">
        <v>5</v>
      </c>
      <c r="AL57" s="14">
        <v>92.1</v>
      </c>
      <c r="AM57" s="15"/>
      <c r="AN57" s="15" t="s">
        <v>707</v>
      </c>
      <c r="AO57" s="16" t="s">
        <v>708</v>
      </c>
      <c r="AP57" s="16" t="s">
        <v>708</v>
      </c>
      <c r="AQ57" s="16" t="s">
        <v>708</v>
      </c>
      <c r="AR57" s="16" t="s">
        <v>708</v>
      </c>
      <c r="AS57" s="16" t="s">
        <v>708</v>
      </c>
      <c r="AT57" s="16" t="s">
        <v>631</v>
      </c>
      <c r="AU57" s="15"/>
      <c r="AV57" s="15"/>
      <c r="AW57" s="17" t="s">
        <v>637</v>
      </c>
    </row>
    <row r="58" ht="22" customHeight="1" spans="1:49">
      <c r="A58" s="11" t="s">
        <v>531</v>
      </c>
      <c r="B58" s="11" t="s">
        <v>210</v>
      </c>
      <c r="C58" s="11" t="s">
        <v>109</v>
      </c>
      <c r="D58" s="11" t="s">
        <v>473</v>
      </c>
      <c r="E58" s="11" t="s">
        <v>474</v>
      </c>
      <c r="F58" s="11" t="s">
        <v>469</v>
      </c>
      <c r="G58" s="11"/>
      <c r="H58" s="12" t="s">
        <v>706</v>
      </c>
      <c r="I58" s="13">
        <v>5</v>
      </c>
      <c r="J58" s="14">
        <v>4.5</v>
      </c>
      <c r="K58" s="13">
        <v>3</v>
      </c>
      <c r="L58" s="13">
        <v>3</v>
      </c>
      <c r="M58" s="13">
        <v>4</v>
      </c>
      <c r="N58" s="13">
        <v>4</v>
      </c>
      <c r="O58" s="13">
        <v>3</v>
      </c>
      <c r="P58" s="14">
        <v>3.5</v>
      </c>
      <c r="Q58" s="13">
        <v>4</v>
      </c>
      <c r="R58" s="13">
        <v>4</v>
      </c>
      <c r="S58" s="14">
        <v>39.5</v>
      </c>
      <c r="T58" s="14">
        <v>3.5</v>
      </c>
      <c r="U58" s="13">
        <v>4</v>
      </c>
      <c r="V58" s="14">
        <v>3.5</v>
      </c>
      <c r="W58" s="14">
        <v>3.5</v>
      </c>
      <c r="X58" s="13">
        <v>4</v>
      </c>
      <c r="Y58" s="13">
        <v>3</v>
      </c>
      <c r="Z58" s="14">
        <v>27.125</v>
      </c>
      <c r="AA58" s="13">
        <v>4</v>
      </c>
      <c r="AB58" s="13">
        <v>3</v>
      </c>
      <c r="AC58" s="14">
        <v>3.5</v>
      </c>
      <c r="AD58" s="14">
        <v>8.875</v>
      </c>
      <c r="AE58" s="13">
        <v>4</v>
      </c>
      <c r="AF58" s="13">
        <v>4</v>
      </c>
      <c r="AG58" s="14">
        <v>3.5</v>
      </c>
      <c r="AH58" s="14">
        <v>9.625</v>
      </c>
      <c r="AI58" s="13">
        <v>4</v>
      </c>
      <c r="AJ58" s="13">
        <v>4</v>
      </c>
      <c r="AK58" s="14">
        <v>5</v>
      </c>
      <c r="AL58" s="14">
        <v>90.125</v>
      </c>
      <c r="AM58" s="15"/>
      <c r="AN58" s="15" t="s">
        <v>707</v>
      </c>
      <c r="AO58" s="16" t="s">
        <v>708</v>
      </c>
      <c r="AP58" s="16" t="s">
        <v>708</v>
      </c>
      <c r="AQ58" s="16" t="s">
        <v>708</v>
      </c>
      <c r="AR58" s="16" t="s">
        <v>708</v>
      </c>
      <c r="AS58" s="16" t="s">
        <v>708</v>
      </c>
      <c r="AT58" s="16" t="s">
        <v>631</v>
      </c>
      <c r="AU58" s="15"/>
      <c r="AV58" s="15"/>
      <c r="AW58" s="17" t="s">
        <v>637</v>
      </c>
    </row>
    <row r="59" ht="22" customHeight="1" spans="1:49">
      <c r="A59" s="11" t="s">
        <v>532</v>
      </c>
      <c r="B59" s="11" t="s">
        <v>210</v>
      </c>
      <c r="C59" s="11" t="s">
        <v>109</v>
      </c>
      <c r="D59" s="11" t="s">
        <v>473</v>
      </c>
      <c r="E59" s="11" t="s">
        <v>474</v>
      </c>
      <c r="F59" s="11" t="s">
        <v>471</v>
      </c>
      <c r="G59" s="11"/>
      <c r="H59" s="12" t="s">
        <v>706</v>
      </c>
      <c r="I59" s="13">
        <v>5</v>
      </c>
      <c r="J59" s="13">
        <v>5</v>
      </c>
      <c r="K59" s="13">
        <v>3</v>
      </c>
      <c r="L59" s="13">
        <v>3</v>
      </c>
      <c r="M59" s="14">
        <v>3.5</v>
      </c>
      <c r="N59" s="13">
        <v>4</v>
      </c>
      <c r="O59" s="13">
        <v>3</v>
      </c>
      <c r="P59" s="14">
        <v>3.5</v>
      </c>
      <c r="Q59" s="13">
        <v>4</v>
      </c>
      <c r="R59" s="13">
        <v>4</v>
      </c>
      <c r="S59" s="14">
        <v>39.275</v>
      </c>
      <c r="T59" s="14">
        <v>3.5</v>
      </c>
      <c r="U59" s="14">
        <v>3.5</v>
      </c>
      <c r="V59" s="13">
        <v>3</v>
      </c>
      <c r="W59" s="14">
        <v>3.5</v>
      </c>
      <c r="X59" s="13">
        <v>4</v>
      </c>
      <c r="Y59" s="14">
        <v>3.5</v>
      </c>
      <c r="Z59" s="14">
        <v>26</v>
      </c>
      <c r="AA59" s="13">
        <v>4</v>
      </c>
      <c r="AB59" s="13">
        <v>4</v>
      </c>
      <c r="AC59" s="14">
        <v>3.5</v>
      </c>
      <c r="AD59" s="14">
        <v>9.625</v>
      </c>
      <c r="AE59" s="13">
        <v>4</v>
      </c>
      <c r="AF59" s="13">
        <v>4</v>
      </c>
      <c r="AG59" s="14">
        <v>3.5</v>
      </c>
      <c r="AH59" s="14">
        <v>9.625</v>
      </c>
      <c r="AI59" s="13">
        <v>4</v>
      </c>
      <c r="AJ59" s="13">
        <v>4</v>
      </c>
      <c r="AK59" s="14">
        <v>5</v>
      </c>
      <c r="AL59" s="14">
        <v>89.525</v>
      </c>
      <c r="AM59" s="15"/>
      <c r="AN59" s="15" t="s">
        <v>707</v>
      </c>
      <c r="AO59" s="16" t="s">
        <v>708</v>
      </c>
      <c r="AP59" s="16" t="s">
        <v>708</v>
      </c>
      <c r="AQ59" s="16" t="s">
        <v>708</v>
      </c>
      <c r="AR59" s="16" t="s">
        <v>708</v>
      </c>
      <c r="AS59" s="16" t="s">
        <v>708</v>
      </c>
      <c r="AT59" s="16" t="s">
        <v>631</v>
      </c>
      <c r="AU59" s="15"/>
      <c r="AV59" s="15"/>
      <c r="AW59" s="17" t="s">
        <v>725</v>
      </c>
    </row>
    <row r="60" ht="22" customHeight="1" spans="1:49">
      <c r="A60" s="11" t="s">
        <v>533</v>
      </c>
      <c r="B60" s="11" t="s">
        <v>210</v>
      </c>
      <c r="C60" s="11" t="s">
        <v>109</v>
      </c>
      <c r="D60" s="11" t="s">
        <v>477</v>
      </c>
      <c r="E60" s="11">
        <v>2.5</v>
      </c>
      <c r="F60" s="11" t="s">
        <v>469</v>
      </c>
      <c r="G60" s="11"/>
      <c r="H60" s="12" t="s">
        <v>706</v>
      </c>
      <c r="I60" s="13">
        <v>5</v>
      </c>
      <c r="J60" s="14">
        <v>4.5</v>
      </c>
      <c r="K60" s="14">
        <v>4.5</v>
      </c>
      <c r="L60" s="13">
        <v>4</v>
      </c>
      <c r="M60" s="13">
        <v>4</v>
      </c>
      <c r="N60" s="13">
        <v>4</v>
      </c>
      <c r="O60" s="13">
        <v>4</v>
      </c>
      <c r="P60" s="13">
        <v>4</v>
      </c>
      <c r="Q60" s="13">
        <v>4</v>
      </c>
      <c r="R60" s="13">
        <v>4</v>
      </c>
      <c r="S60" s="14">
        <v>44.2</v>
      </c>
      <c r="T60" s="13">
        <v>4</v>
      </c>
      <c r="U60" s="13">
        <v>4</v>
      </c>
      <c r="V60" s="13">
        <v>4</v>
      </c>
      <c r="W60" s="13">
        <v>4</v>
      </c>
      <c r="X60" s="13">
        <v>4</v>
      </c>
      <c r="Y60" s="13">
        <v>4</v>
      </c>
      <c r="Z60" s="14">
        <v>30</v>
      </c>
      <c r="AA60" s="13">
        <v>1</v>
      </c>
      <c r="AB60" s="14">
        <v>3.5</v>
      </c>
      <c r="AC60" s="13">
        <v>4</v>
      </c>
      <c r="AD60" s="14">
        <v>6.625</v>
      </c>
      <c r="AE60" s="13">
        <v>4</v>
      </c>
      <c r="AF60" s="13">
        <v>4</v>
      </c>
      <c r="AG60" s="13">
        <v>4</v>
      </c>
      <c r="AH60" s="14">
        <v>10</v>
      </c>
      <c r="AI60" s="13">
        <v>4</v>
      </c>
      <c r="AJ60" s="13">
        <v>4</v>
      </c>
      <c r="AK60" s="14">
        <v>5</v>
      </c>
      <c r="AL60" s="14">
        <v>95.825</v>
      </c>
      <c r="AM60" s="15"/>
      <c r="AN60" s="15" t="s">
        <v>707</v>
      </c>
      <c r="AO60" s="16" t="s">
        <v>708</v>
      </c>
      <c r="AP60" s="16" t="s">
        <v>708</v>
      </c>
      <c r="AQ60" s="18" t="s">
        <v>710</v>
      </c>
      <c r="AR60" s="16" t="s">
        <v>708</v>
      </c>
      <c r="AS60" s="16" t="s">
        <v>708</v>
      </c>
      <c r="AT60" s="18" t="s">
        <v>632</v>
      </c>
      <c r="AU60" s="15"/>
      <c r="AV60" s="15"/>
      <c r="AW60" s="17" t="s">
        <v>715</v>
      </c>
    </row>
    <row r="61" ht="22" customHeight="1" spans="1:49">
      <c r="A61" s="11" t="s">
        <v>534</v>
      </c>
      <c r="B61" s="11" t="s">
        <v>210</v>
      </c>
      <c r="C61" s="11" t="s">
        <v>109</v>
      </c>
      <c r="D61" s="11" t="s">
        <v>477</v>
      </c>
      <c r="E61" s="11">
        <v>2.5</v>
      </c>
      <c r="F61" s="11" t="s">
        <v>471</v>
      </c>
      <c r="G61" s="11"/>
      <c r="H61" s="12" t="s">
        <v>706</v>
      </c>
      <c r="I61" s="13">
        <v>5</v>
      </c>
      <c r="J61" s="14">
        <v>4.5</v>
      </c>
      <c r="K61" s="14">
        <v>4.5</v>
      </c>
      <c r="L61" s="13">
        <v>4</v>
      </c>
      <c r="M61" s="13">
        <v>4</v>
      </c>
      <c r="N61" s="13">
        <v>4</v>
      </c>
      <c r="O61" s="13">
        <v>4</v>
      </c>
      <c r="P61" s="13">
        <v>4</v>
      </c>
      <c r="Q61" s="13">
        <v>4</v>
      </c>
      <c r="R61" s="13">
        <v>4</v>
      </c>
      <c r="S61" s="14">
        <v>44.2</v>
      </c>
      <c r="T61" s="13">
        <v>4</v>
      </c>
      <c r="U61" s="13">
        <v>4</v>
      </c>
      <c r="V61" s="13">
        <v>4</v>
      </c>
      <c r="W61" s="13">
        <v>4</v>
      </c>
      <c r="X61" s="13">
        <v>4</v>
      </c>
      <c r="Y61" s="13">
        <v>4</v>
      </c>
      <c r="Z61" s="14">
        <v>30</v>
      </c>
      <c r="AA61" s="13">
        <v>1</v>
      </c>
      <c r="AB61" s="14">
        <v>3.5</v>
      </c>
      <c r="AC61" s="13">
        <v>4</v>
      </c>
      <c r="AD61" s="14">
        <v>6.625</v>
      </c>
      <c r="AE61" s="13">
        <v>4</v>
      </c>
      <c r="AF61" s="13">
        <v>4</v>
      </c>
      <c r="AG61" s="13">
        <v>4</v>
      </c>
      <c r="AH61" s="14">
        <v>10</v>
      </c>
      <c r="AI61" s="13">
        <v>4</v>
      </c>
      <c r="AJ61" s="13">
        <v>4</v>
      </c>
      <c r="AK61" s="14">
        <v>5</v>
      </c>
      <c r="AL61" s="14">
        <v>95.825</v>
      </c>
      <c r="AM61" s="15"/>
      <c r="AN61" s="15" t="s">
        <v>707</v>
      </c>
      <c r="AO61" s="16" t="s">
        <v>708</v>
      </c>
      <c r="AP61" s="16" t="s">
        <v>708</v>
      </c>
      <c r="AQ61" s="18" t="s">
        <v>710</v>
      </c>
      <c r="AR61" s="16" t="s">
        <v>708</v>
      </c>
      <c r="AS61" s="16" t="s">
        <v>708</v>
      </c>
      <c r="AT61" s="18" t="s">
        <v>632</v>
      </c>
      <c r="AU61" s="15"/>
      <c r="AV61" s="15"/>
      <c r="AW61" s="17" t="s">
        <v>715</v>
      </c>
    </row>
  </sheetData>
  <autoFilter xmlns:etc="http://www.wps.cn/officeDocument/2017/etCustomData" ref="A1:AW61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B16" sqref="B16"/>
    </sheetView>
  </sheetViews>
  <sheetFormatPr defaultColWidth="9" defaultRowHeight="16.8"/>
  <cols>
    <col min="1" max="1" width="18" customWidth="1"/>
    <col min="2" max="2" width="14" customWidth="1"/>
    <col min="3" max="8" width="12" customWidth="1"/>
    <col min="9" max="9" width="13" customWidth="1"/>
    <col min="10" max="13" width="12" customWidth="1"/>
    <col min="14" max="14" width="14" customWidth="1"/>
    <col min="15" max="16" width="16" customWidth="1"/>
    <col min="17" max="17" width="28" customWidth="1"/>
  </cols>
  <sheetData>
    <row r="1" ht="23.2" spans="1:17">
      <c r="A1" s="1" t="s">
        <v>726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ht="38" customHeight="1" spans="1:17">
      <c r="A3" s="2" t="s">
        <v>421</v>
      </c>
      <c r="B3" s="2" t="s">
        <v>618</v>
      </c>
      <c r="C3" s="2" t="s">
        <v>727</v>
      </c>
      <c r="D3" s="2" t="s">
        <v>728</v>
      </c>
      <c r="E3" s="2" t="s">
        <v>729</v>
      </c>
      <c r="F3" s="2" t="s">
        <v>730</v>
      </c>
      <c r="G3" s="2" t="s">
        <v>731</v>
      </c>
      <c r="H3" s="2" t="s">
        <v>732</v>
      </c>
      <c r="I3" s="2" t="s">
        <v>733</v>
      </c>
      <c r="J3" s="2" t="s">
        <v>734</v>
      </c>
      <c r="K3" s="2" t="s">
        <v>735</v>
      </c>
      <c r="L3" s="2" t="s">
        <v>736</v>
      </c>
      <c r="M3" s="2" t="s">
        <v>737</v>
      </c>
      <c r="N3" s="2" t="s">
        <v>738</v>
      </c>
      <c r="O3" s="2" t="s">
        <v>739</v>
      </c>
      <c r="P3" s="2" t="s">
        <v>740</v>
      </c>
      <c r="Q3" s="2" t="s">
        <v>125</v>
      </c>
    </row>
    <row r="4" spans="1:17">
      <c r="A4" s="3"/>
      <c r="B4" s="3"/>
      <c r="C4" s="4" t="str">
        <f>IF(A4="","",COUNTIF('单图评分-Opus'!$D$2:$D$61,A4))</f>
        <v/>
      </c>
      <c r="D4" s="5" t="e">
        <f>IF(C4=0,"",SUMIF('单图评分-Opus'!$D$2:$D$61,A4,'单图评分-Opus'!$AL$2:$AL$61)/C4)</f>
        <v>#VALUE!</v>
      </c>
      <c r="E4" s="5" t="e">
        <f>IF(C4=0,"",SUMIF('单图评分-Opus'!$D$2:$D$61,A4,'单图评分-Opus'!$S$2:$S$61)/C4)</f>
        <v>#VALUE!</v>
      </c>
      <c r="F4" s="5" t="e">
        <f>IF(C4=0,"",SUMIF('单图评分-Opus'!$D$2:$D$61,A4,'单图评分-Opus'!$Z$2:$Z$61)/C4)</f>
        <v>#VALUE!</v>
      </c>
      <c r="G4" s="5" t="e">
        <f>IF(C4=0,"",SUMIF('单图评分-Opus'!$D$2:$D$61,A4,'单图评分-Opus'!$AD$2:$AD$61)/C4)</f>
        <v>#VALUE!</v>
      </c>
      <c r="H4" s="5" t="e">
        <f>IF(C4=0,"",SUMIF('单图评分-Opus'!$D$2:$D$61,A4,'单图评分-Opus'!$AH$2:$AH$61)/C4)</f>
        <v>#VALUE!</v>
      </c>
      <c r="I4" s="5" t="e">
        <f>IF(C4=0,"",SUMIF('单图评分-Opus'!$D$2:$D$61,A4,'单图评分-Opus'!$AK$2:$AK$61)/C4)</f>
        <v>#VALUE!</v>
      </c>
      <c r="J4" s="6" t="e">
        <f>IF(C4=0,"",COUNTIFS('单图评分-Opus'!$D$2:$D$61,A4,'单图评分-Opus'!$AO$2:$AO$61,"合格")/C4)</f>
        <v>#VALUE!</v>
      </c>
      <c r="K4" s="6" t="e">
        <f>IF(C4=0,"",COUNTIFS('单图评分-Opus'!$D$2:$D$61,A4,'单图评分-Opus'!$AP$2:$AP$61,"合格")/C4)</f>
        <v>#VALUE!</v>
      </c>
      <c r="L4" s="6" t="e">
        <f>IF(C4=0,"",COUNTIFS('单图评分-Opus'!$D$2:$D$61,A4,'单图评分-Opus'!$AT$2:$AT$61,"生产可用")/C4)</f>
        <v>#VALUE!</v>
      </c>
      <c r="M4" s="6" t="e">
        <f>IF(C4=0,"",COUNTIFS('单图评分-Opus'!$D$2:$D$61,A4,'单图评分-Opus'!$AN$2:$AN$61,"是")/C4)</f>
        <v>#VALUE!</v>
      </c>
      <c r="N4" s="5" t="e">
        <f>IF(C4=0,"",SUMIF('单图评分-Opus'!$D$2:$D$61,A4,'单图评分-Opus'!$AU$2:$AU$61)/C4)</f>
        <v>#VALUE!</v>
      </c>
      <c r="O4" s="7" t="e">
        <f>IF(C4=0,"",SUMIF('单图评分-Opus'!$D$2:$D$61,A4,'单图评分-Opus'!$AV$2:$AV$61)/C4)</f>
        <v>#VALUE!</v>
      </c>
      <c r="P4" s="7">
        <f>IF(C4=0,"",SUMIF('单图评分-Opus'!$D$2:$D$61,A4,'单图评分-Opus'!$AV$2:$AV$61))</f>
        <v>0</v>
      </c>
      <c r="Q4" s="3"/>
    </row>
    <row r="5" spans="1:17">
      <c r="A5" s="3"/>
      <c r="B5" s="3"/>
      <c r="C5" s="4" t="str">
        <f>IF(A5="","",COUNTIF('单图评分-Opus'!$D$2:$D$61,A5))</f>
        <v/>
      </c>
      <c r="D5" s="5" t="e">
        <f>IF(C5=0,"",SUMIF('单图评分-Opus'!$D$2:$D$61,A5,'单图评分-Opus'!$AL$2:$AL$61)/C5)</f>
        <v>#VALUE!</v>
      </c>
      <c r="E5" s="5" t="e">
        <f>IF(C5=0,"",SUMIF('单图评分-Opus'!$D$2:$D$61,A5,'单图评分-Opus'!$S$2:$S$61)/C5)</f>
        <v>#VALUE!</v>
      </c>
      <c r="F5" s="5" t="e">
        <f>IF(C5=0,"",SUMIF('单图评分-Opus'!$D$2:$D$61,A5,'单图评分-Opus'!$Z$2:$Z$61)/C5)</f>
        <v>#VALUE!</v>
      </c>
      <c r="G5" s="5" t="e">
        <f>IF(C5=0,"",SUMIF('单图评分-Opus'!$D$2:$D$61,A5,'单图评分-Opus'!$AD$2:$AD$61)/C5)</f>
        <v>#VALUE!</v>
      </c>
      <c r="H5" s="5" t="e">
        <f>IF(C5=0,"",SUMIF('单图评分-Opus'!$D$2:$D$61,A5,'单图评分-Opus'!$AH$2:$AH$61)/C5)</f>
        <v>#VALUE!</v>
      </c>
      <c r="I5" s="5" t="e">
        <f>IF(C5=0,"",SUMIF('单图评分-Opus'!$D$2:$D$61,A5,'单图评分-Opus'!$AK$2:$AK$61)/C5)</f>
        <v>#VALUE!</v>
      </c>
      <c r="J5" s="6" t="e">
        <f>IF(C5=0,"",COUNTIFS('单图评分-Opus'!$D$2:$D$61,A5,'单图评分-Opus'!$AO$2:$AO$61,"合格")/C5)</f>
        <v>#VALUE!</v>
      </c>
      <c r="K5" s="6" t="e">
        <f>IF(C5=0,"",COUNTIFS('单图评分-Opus'!$D$2:$D$61,A5,'单图评分-Opus'!$AP$2:$AP$61,"合格")/C5)</f>
        <v>#VALUE!</v>
      </c>
      <c r="L5" s="6" t="e">
        <f>IF(C5=0,"",COUNTIFS('单图评分-Opus'!$D$2:$D$61,A5,'单图评分-Opus'!$AT$2:$AT$61,"生产可用")/C5)</f>
        <v>#VALUE!</v>
      </c>
      <c r="M5" s="6" t="e">
        <f>IF(C5=0,"",COUNTIFS('单图评分-Opus'!$D$2:$D$61,A5,'单图评分-Opus'!$AN$2:$AN$61,"是")/C5)</f>
        <v>#VALUE!</v>
      </c>
      <c r="N5" s="5" t="e">
        <f>IF(C5=0,"",SUMIF('单图评分-Opus'!$D$2:$D$61,A5,'单图评分-Opus'!$AU$2:$AU$61)/C5)</f>
        <v>#VALUE!</v>
      </c>
      <c r="O5" s="7" t="e">
        <f>IF(C5=0,"",SUMIF('单图评分-Opus'!$D$2:$D$61,A5,'单图评分-Opus'!$AV$2:$AV$61)/C5)</f>
        <v>#VALUE!</v>
      </c>
      <c r="P5" s="7">
        <f>IF(C5=0,"",SUMIF('单图评分-Opus'!$D$2:$D$61,A5,'单图评分-Opus'!$AV$2:$AV$61))</f>
        <v>0</v>
      </c>
      <c r="Q5" s="3"/>
    </row>
    <row r="6" spans="1:17">
      <c r="A6" s="3"/>
      <c r="B6" s="3"/>
      <c r="C6" s="4" t="str">
        <f>IF(A6="","",COUNTIF('单图评分-Opus'!$D$2:$D$61,A6))</f>
        <v/>
      </c>
      <c r="D6" s="5" t="e">
        <f>IF(C6=0,"",SUMIF('单图评分-Opus'!$D$2:$D$61,A6,'单图评分-Opus'!$AL$2:$AL$61)/C6)</f>
        <v>#VALUE!</v>
      </c>
      <c r="E6" s="5" t="e">
        <f>IF(C6=0,"",SUMIF('单图评分-Opus'!$D$2:$D$61,A6,'单图评分-Opus'!$S$2:$S$61)/C6)</f>
        <v>#VALUE!</v>
      </c>
      <c r="F6" s="5" t="e">
        <f>IF(C6=0,"",SUMIF('单图评分-Opus'!$D$2:$D$61,A6,'单图评分-Opus'!$Z$2:$Z$61)/C6)</f>
        <v>#VALUE!</v>
      </c>
      <c r="G6" s="5" t="e">
        <f>IF(C6=0,"",SUMIF('单图评分-Opus'!$D$2:$D$61,A6,'单图评分-Opus'!$AD$2:$AD$61)/C6)</f>
        <v>#VALUE!</v>
      </c>
      <c r="H6" s="5" t="e">
        <f>IF(C6=0,"",SUMIF('单图评分-Opus'!$D$2:$D$61,A6,'单图评分-Opus'!$AH$2:$AH$61)/C6)</f>
        <v>#VALUE!</v>
      </c>
      <c r="I6" s="5" t="e">
        <f>IF(C6=0,"",SUMIF('单图评分-Opus'!$D$2:$D$61,A6,'单图评分-Opus'!$AK$2:$AK$61)/C6)</f>
        <v>#VALUE!</v>
      </c>
      <c r="J6" s="6" t="e">
        <f>IF(C6=0,"",COUNTIFS('单图评分-Opus'!$D$2:$D$61,A6,'单图评分-Opus'!$AO$2:$AO$61,"合格")/C6)</f>
        <v>#VALUE!</v>
      </c>
      <c r="K6" s="6" t="e">
        <f>IF(C6=0,"",COUNTIFS('单图评分-Opus'!$D$2:$D$61,A6,'单图评分-Opus'!$AP$2:$AP$61,"合格")/C6)</f>
        <v>#VALUE!</v>
      </c>
      <c r="L6" s="6" t="e">
        <f>IF(C6=0,"",COUNTIFS('单图评分-Opus'!$D$2:$D$61,A6,'单图评分-Opus'!$AT$2:$AT$61,"生产可用")/C6)</f>
        <v>#VALUE!</v>
      </c>
      <c r="M6" s="6" t="e">
        <f>IF(C6=0,"",COUNTIFS('单图评分-Opus'!$D$2:$D$61,A6,'单图评分-Opus'!$AN$2:$AN$61,"是")/C6)</f>
        <v>#VALUE!</v>
      </c>
      <c r="N6" s="5" t="e">
        <f>IF(C6=0,"",SUMIF('单图评分-Opus'!$D$2:$D$61,A6,'单图评分-Opus'!$AU$2:$AU$61)/C6)</f>
        <v>#VALUE!</v>
      </c>
      <c r="O6" s="7" t="e">
        <f>IF(C6=0,"",SUMIF('单图评分-Opus'!$D$2:$D$61,A6,'单图评分-Opus'!$AV$2:$AV$61)/C6)</f>
        <v>#VALUE!</v>
      </c>
      <c r="P6" s="7">
        <f>IF(C6=0,"",SUMIF('单图评分-Opus'!$D$2:$D$61,A6,'单图评分-Opus'!$AV$2:$AV$61))</f>
        <v>0</v>
      </c>
      <c r="Q6" s="3"/>
    </row>
    <row r="7" spans="1:17">
      <c r="A7" s="3"/>
      <c r="B7" s="3"/>
      <c r="C7" s="4" t="str">
        <f>IF(A7="","",COUNTIF('单图评分-Opus'!$D$2:$D$61,A7))</f>
        <v/>
      </c>
      <c r="D7" s="5" t="e">
        <f>IF(C7=0,"",SUMIF('单图评分-Opus'!$D$2:$D$61,A7,'单图评分-Opus'!$AL$2:$AL$61)/C7)</f>
        <v>#VALUE!</v>
      </c>
      <c r="E7" s="5" t="e">
        <f>IF(C7=0,"",SUMIF('单图评分-Opus'!$D$2:$D$61,A7,'单图评分-Opus'!$S$2:$S$61)/C7)</f>
        <v>#VALUE!</v>
      </c>
      <c r="F7" s="5" t="e">
        <f>IF(C7=0,"",SUMIF('单图评分-Opus'!$D$2:$D$61,A7,'单图评分-Opus'!$Z$2:$Z$61)/C7)</f>
        <v>#VALUE!</v>
      </c>
      <c r="G7" s="5" t="e">
        <f>IF(C7=0,"",SUMIF('单图评分-Opus'!$D$2:$D$61,A7,'单图评分-Opus'!$AD$2:$AD$61)/C7)</f>
        <v>#VALUE!</v>
      </c>
      <c r="H7" s="5" t="e">
        <f>IF(C7=0,"",SUMIF('单图评分-Opus'!$D$2:$D$61,A7,'单图评分-Opus'!$AH$2:$AH$61)/C7)</f>
        <v>#VALUE!</v>
      </c>
      <c r="I7" s="5" t="e">
        <f>IF(C7=0,"",SUMIF('单图评分-Opus'!$D$2:$D$61,A7,'单图评分-Opus'!$AK$2:$AK$61)/C7)</f>
        <v>#VALUE!</v>
      </c>
      <c r="J7" s="6" t="e">
        <f>IF(C7=0,"",COUNTIFS('单图评分-Opus'!$D$2:$D$61,A7,'单图评分-Opus'!$AO$2:$AO$61,"合格")/C7)</f>
        <v>#VALUE!</v>
      </c>
      <c r="K7" s="6" t="e">
        <f>IF(C7=0,"",COUNTIFS('单图评分-Opus'!$D$2:$D$61,A7,'单图评分-Opus'!$AP$2:$AP$61,"合格")/C7)</f>
        <v>#VALUE!</v>
      </c>
      <c r="L7" s="6" t="e">
        <f>IF(C7=0,"",COUNTIFS('单图评分-Opus'!$D$2:$D$61,A7,'单图评分-Opus'!$AT$2:$AT$61,"生产可用")/C7)</f>
        <v>#VALUE!</v>
      </c>
      <c r="M7" s="6" t="e">
        <f>IF(C7=0,"",COUNTIFS('单图评分-Opus'!$D$2:$D$61,A7,'单图评分-Opus'!$AN$2:$AN$61,"是")/C7)</f>
        <v>#VALUE!</v>
      </c>
      <c r="N7" s="5" t="e">
        <f>IF(C7=0,"",SUMIF('单图评分-Opus'!$D$2:$D$61,A7,'单图评分-Opus'!$AU$2:$AU$61)/C7)</f>
        <v>#VALUE!</v>
      </c>
      <c r="O7" s="7" t="e">
        <f>IF(C7=0,"",SUMIF('单图评分-Opus'!$D$2:$D$61,A7,'单图评分-Opus'!$AV$2:$AV$61)/C7)</f>
        <v>#VALUE!</v>
      </c>
      <c r="P7" s="7">
        <f>IF(C7=0,"",SUMIF('单图评分-Opus'!$D$2:$D$61,A7,'单图评分-Opus'!$AV$2:$AV$61))</f>
        <v>0</v>
      </c>
      <c r="Q7" s="3"/>
    </row>
    <row r="8" spans="1:17">
      <c r="A8" s="3"/>
      <c r="B8" s="3"/>
      <c r="C8" s="4" t="str">
        <f>IF(A8="","",COUNTIF('单图评分-Opus'!$D$2:$D$61,A8))</f>
        <v/>
      </c>
      <c r="D8" s="5" t="e">
        <f>IF(C8=0,"",SUMIF('单图评分-Opus'!$D$2:$D$61,A8,'单图评分-Opus'!$AL$2:$AL$61)/C8)</f>
        <v>#VALUE!</v>
      </c>
      <c r="E8" s="5" t="e">
        <f>IF(C8=0,"",SUMIF('单图评分-Opus'!$D$2:$D$61,A8,'单图评分-Opus'!$S$2:$S$61)/C8)</f>
        <v>#VALUE!</v>
      </c>
      <c r="F8" s="5" t="e">
        <f>IF(C8=0,"",SUMIF('单图评分-Opus'!$D$2:$D$61,A8,'单图评分-Opus'!$Z$2:$Z$61)/C8)</f>
        <v>#VALUE!</v>
      </c>
      <c r="G8" s="5" t="e">
        <f>IF(C8=0,"",SUMIF('单图评分-Opus'!$D$2:$D$61,A8,'单图评分-Opus'!$AD$2:$AD$61)/C8)</f>
        <v>#VALUE!</v>
      </c>
      <c r="H8" s="5" t="e">
        <f>IF(C8=0,"",SUMIF('单图评分-Opus'!$D$2:$D$61,A8,'单图评分-Opus'!$AH$2:$AH$61)/C8)</f>
        <v>#VALUE!</v>
      </c>
      <c r="I8" s="5" t="e">
        <f>IF(C8=0,"",SUMIF('单图评分-Opus'!$D$2:$D$61,A8,'单图评分-Opus'!$AK$2:$AK$61)/C8)</f>
        <v>#VALUE!</v>
      </c>
      <c r="J8" s="6" t="e">
        <f>IF(C8=0,"",COUNTIFS('单图评分-Opus'!$D$2:$D$61,A8,'单图评分-Opus'!$AO$2:$AO$61,"合格")/C8)</f>
        <v>#VALUE!</v>
      </c>
      <c r="K8" s="6" t="e">
        <f>IF(C8=0,"",COUNTIFS('单图评分-Opus'!$D$2:$D$61,A8,'单图评分-Opus'!$AP$2:$AP$61,"合格")/C8)</f>
        <v>#VALUE!</v>
      </c>
      <c r="L8" s="6" t="e">
        <f>IF(C8=0,"",COUNTIFS('单图评分-Opus'!$D$2:$D$61,A8,'单图评分-Opus'!$AT$2:$AT$61,"生产可用")/C8)</f>
        <v>#VALUE!</v>
      </c>
      <c r="M8" s="6" t="e">
        <f>IF(C8=0,"",COUNTIFS('单图评分-Opus'!$D$2:$D$61,A8,'单图评分-Opus'!$AN$2:$AN$61,"是")/C8)</f>
        <v>#VALUE!</v>
      </c>
      <c r="N8" s="5" t="e">
        <f>IF(C8=0,"",SUMIF('单图评分-Opus'!$D$2:$D$61,A8,'单图评分-Opus'!$AU$2:$AU$61)/C8)</f>
        <v>#VALUE!</v>
      </c>
      <c r="O8" s="7" t="e">
        <f>IF(C8=0,"",SUMIF('单图评分-Opus'!$D$2:$D$61,A8,'单图评分-Opus'!$AV$2:$AV$61)/C8)</f>
        <v>#VALUE!</v>
      </c>
      <c r="P8" s="7">
        <f>IF(C8=0,"",SUMIF('单图评分-Opus'!$D$2:$D$61,A8,'单图评分-Opus'!$AV$2:$AV$61))</f>
        <v>0</v>
      </c>
      <c r="Q8" s="3"/>
    </row>
    <row r="9" spans="1:17">
      <c r="A9" s="3"/>
      <c r="B9" s="3"/>
      <c r="C9" s="4" t="str">
        <f>IF(A9="","",COUNTIF('单图评分-Opus'!$D$2:$D$61,A9))</f>
        <v/>
      </c>
      <c r="D9" s="5" t="e">
        <f>IF(C9=0,"",SUMIF('单图评分-Opus'!$D$2:$D$61,A9,'单图评分-Opus'!$AL$2:$AL$61)/C9)</f>
        <v>#VALUE!</v>
      </c>
      <c r="E9" s="5" t="e">
        <f>IF(C9=0,"",SUMIF('单图评分-Opus'!$D$2:$D$61,A9,'单图评分-Opus'!$S$2:$S$61)/C9)</f>
        <v>#VALUE!</v>
      </c>
      <c r="F9" s="5" t="e">
        <f>IF(C9=0,"",SUMIF('单图评分-Opus'!$D$2:$D$61,A9,'单图评分-Opus'!$Z$2:$Z$61)/C9)</f>
        <v>#VALUE!</v>
      </c>
      <c r="G9" s="5" t="e">
        <f>IF(C9=0,"",SUMIF('单图评分-Opus'!$D$2:$D$61,A9,'单图评分-Opus'!$AD$2:$AD$61)/C9)</f>
        <v>#VALUE!</v>
      </c>
      <c r="H9" s="5" t="e">
        <f>IF(C9=0,"",SUMIF('单图评分-Opus'!$D$2:$D$61,A9,'单图评分-Opus'!$AH$2:$AH$61)/C9)</f>
        <v>#VALUE!</v>
      </c>
      <c r="I9" s="5" t="e">
        <f>IF(C9=0,"",SUMIF('单图评分-Opus'!$D$2:$D$61,A9,'单图评分-Opus'!$AK$2:$AK$61)/C9)</f>
        <v>#VALUE!</v>
      </c>
      <c r="J9" s="6" t="e">
        <f>IF(C9=0,"",COUNTIFS('单图评分-Opus'!$D$2:$D$61,A9,'单图评分-Opus'!$AO$2:$AO$61,"合格")/C9)</f>
        <v>#VALUE!</v>
      </c>
      <c r="K9" s="6" t="e">
        <f>IF(C9=0,"",COUNTIFS('单图评分-Opus'!$D$2:$D$61,A9,'单图评分-Opus'!$AP$2:$AP$61,"合格")/C9)</f>
        <v>#VALUE!</v>
      </c>
      <c r="L9" s="6" t="e">
        <f>IF(C9=0,"",COUNTIFS('单图评分-Opus'!$D$2:$D$61,A9,'单图评分-Opus'!$AT$2:$AT$61,"生产可用")/C9)</f>
        <v>#VALUE!</v>
      </c>
      <c r="M9" s="6" t="e">
        <f>IF(C9=0,"",COUNTIFS('单图评分-Opus'!$D$2:$D$61,A9,'单图评分-Opus'!$AN$2:$AN$61,"是")/C9)</f>
        <v>#VALUE!</v>
      </c>
      <c r="N9" s="5" t="e">
        <f>IF(C9=0,"",SUMIF('单图评分-Opus'!$D$2:$D$61,A9,'单图评分-Opus'!$AU$2:$AU$61)/C9)</f>
        <v>#VALUE!</v>
      </c>
      <c r="O9" s="7" t="e">
        <f>IF(C9=0,"",SUMIF('单图评分-Opus'!$D$2:$D$61,A9,'单图评分-Opus'!$AV$2:$AV$61)/C9)</f>
        <v>#VALUE!</v>
      </c>
      <c r="P9" s="7">
        <f>IF(C9=0,"",SUMIF('单图评分-Opus'!$D$2:$D$61,A9,'单图评分-Opus'!$AV$2:$AV$61))</f>
        <v>0</v>
      </c>
      <c r="Q9" s="3"/>
    </row>
    <row r="12" spans="1:17">
      <c r="A12" s="8" t="s">
        <v>741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4" spans="1:17">
      <c r="A14" s="8" t="s">
        <v>742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</sheetData>
  <mergeCells count="3">
    <mergeCell ref="A1:Q1"/>
    <mergeCell ref="A12:Q12"/>
    <mergeCell ref="A14:Q14"/>
  </mergeCells>
  <conditionalFormatting sqref="M4:M9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D4:L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使用说明</vt:lpstr>
      <vt:lpstr>宠物特征卡</vt:lpstr>
      <vt:lpstr>测试用例</vt:lpstr>
      <vt:lpstr>评分标准</vt:lpstr>
      <vt:lpstr>单图评分 -GPT</vt:lpstr>
      <vt:lpstr>单图评分-Opus</vt:lpstr>
      <vt:lpstr>待人工复核项</vt:lpstr>
      <vt:lpstr>单图评分-最终分</vt:lpstr>
      <vt:lpstr>模型汇总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灰白</cp:lastModifiedBy>
  <dcterms:created xsi:type="dcterms:W3CDTF">2026-09-29T10:25:00Z</dcterms:created>
  <dcterms:modified xsi:type="dcterms:W3CDTF">2026-09-28T01:51:52Z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1A60A937420559437528B96A26D9FCA9_42</vt:lpwstr>
  </property>
</Properties>
</file>